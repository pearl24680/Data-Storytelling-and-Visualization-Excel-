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Pearl Sethi\Downloads\"/>
    </mc:Choice>
  </mc:AlternateContent>
  <xr:revisionPtr revIDLastSave="0" documentId="13_ncr:1_{665D2AEA-1961-4529-988A-71D7F5547A3F}" xr6:coauthVersionLast="47" xr6:coauthVersionMax="47" xr10:uidLastSave="{00000000-0000-0000-0000-000000000000}"/>
  <bookViews>
    <workbookView xWindow="-108" yWindow="-108" windowWidth="23256" windowHeight="12456" firstSheet="1" activeTab="1" xr2:uid="{1BFD6850-0780-41F0-94ED-456A2393D67A}"/>
  </bookViews>
  <sheets>
    <sheet name="PCOD_Health_Lifestyle" sheetId="2" r:id="rId1"/>
    <sheet name="Sheet1" sheetId="15" r:id="rId2"/>
    <sheet name="objective 1" sheetId="7" r:id="rId3"/>
    <sheet name="objective2" sheetId="6" r:id="rId4"/>
    <sheet name="objective3" sheetId="5" r:id="rId5"/>
    <sheet name="objective 4" sheetId="9" r:id="rId6"/>
    <sheet name="objective 5" sheetId="8" r:id="rId7"/>
    <sheet name="objective 6" sheetId="10" r:id="rId8"/>
    <sheet name="slicer" sheetId="14" r:id="rId9"/>
    <sheet name="status" sheetId="12" r:id="rId10"/>
  </sheets>
  <definedNames>
    <definedName name="_xlnm._FilterDatabase" localSheetId="0" hidden="1">PCOD_Health_Lifestyle!$A$1:$N$201</definedName>
    <definedName name="_xlchart.v1.0" hidden="1">'objective 4'!$A$1</definedName>
    <definedName name="_xlchart.v1.1" hidden="1">'objective 4'!$A$2:$A$201</definedName>
    <definedName name="_xlchart.v1.2" hidden="1">'objective 4'!$A$1</definedName>
    <definedName name="_xlchart.v1.3" hidden="1">'objective 4'!$A$2:$A$201</definedName>
    <definedName name="Slicer_PCOD_Status">#N/A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0" l="1"/>
  <c r="B4" i="10"/>
  <c r="B3" i="10"/>
  <c r="B2" i="10"/>
  <c r="B1" i="10"/>
  <c r="E20" i="9"/>
  <c r="E19" i="9"/>
  <c r="E18" i="9" l="1"/>
  <c r="E22" i="9" s="1"/>
  <c r="E21" i="9" l="1"/>
</calcChain>
</file>

<file path=xl/sharedStrings.xml><?xml version="1.0" encoding="utf-8"?>
<sst xmlns="http://schemas.openxmlformats.org/spreadsheetml/2006/main" count="1696" uniqueCount="61">
  <si>
    <t>Yes</t>
  </si>
  <si>
    <t>High</t>
  </si>
  <si>
    <t>Low</t>
  </si>
  <si>
    <t>Mixed</t>
  </si>
  <si>
    <t>Regular</t>
  </si>
  <si>
    <t>No</t>
  </si>
  <si>
    <t>Medium</t>
  </si>
  <si>
    <t>Non-Veg</t>
  </si>
  <si>
    <t>Irregular</t>
  </si>
  <si>
    <t>Veg</t>
  </si>
  <si>
    <t>Hormonal_Medication</t>
  </si>
  <si>
    <t>Abdominal_Fat_Level</t>
  </si>
  <si>
    <t>Bloating_Frequency</t>
  </si>
  <si>
    <t>Stress_Level</t>
  </si>
  <si>
    <t>Sleep_Hours</t>
  </si>
  <si>
    <t>Water_Intake_Liters</t>
  </si>
  <si>
    <t>Sugar_Intake_Level</t>
  </si>
  <si>
    <t>Diet_Type</t>
  </si>
  <si>
    <t>Exercise_Min_per_Day</t>
  </si>
  <si>
    <t>Cycle_Regularity</t>
  </si>
  <si>
    <t>PCOD_Status</t>
  </si>
  <si>
    <t>BMI</t>
  </si>
  <si>
    <t>Age</t>
  </si>
  <si>
    <t>User_ID</t>
  </si>
  <si>
    <t>Row Labels</t>
  </si>
  <si>
    <t>Grand Total</t>
  </si>
  <si>
    <t>Column Labels</t>
  </si>
  <si>
    <t>Sum of User_ID</t>
  </si>
  <si>
    <t>Count of User_ID</t>
  </si>
  <si>
    <t>Exercise Minutes vs Abdominal Fat Level</t>
  </si>
  <si>
    <t>Count of Bloating_Frequency</t>
  </si>
  <si>
    <t>diet</t>
  </si>
  <si>
    <t>Average of Exercise_Min_per_Day</t>
  </si>
  <si>
    <t>pcod status</t>
  </si>
  <si>
    <t>stress level</t>
  </si>
  <si>
    <t>Women Health &amp; Lifestyle Analysis for PCOD Prediction &amp; Wellness</t>
  </si>
  <si>
    <t>CYCLE _REGULARITY</t>
  </si>
  <si>
    <t>Q3</t>
  </si>
  <si>
    <t>Q1</t>
  </si>
  <si>
    <t>LOWER FENCE</t>
  </si>
  <si>
    <t>IQR</t>
  </si>
  <si>
    <t>UPPER FENCE</t>
  </si>
  <si>
    <t>MEAN OF SLEEP HOURS</t>
  </si>
  <si>
    <t>MEDIAN OF SLEEP HOURS</t>
  </si>
  <si>
    <t>MODE OF SLEEP HOURS</t>
  </si>
  <si>
    <t>VARIANCE OF SLEEP HOURS</t>
  </si>
  <si>
    <t>STANDARD DEVIATION</t>
  </si>
  <si>
    <t>Objective 3 Tasks 
Exercise vs Abdominal Fat</t>
  </si>
  <si>
    <t>Objective 2 Tasks 
•	Diet Type vs Bloating Frequency
•	Sugar Intake vs Bloating</t>
  </si>
  <si>
    <t xml:space="preserve">   Objective : Check regularity</t>
  </si>
  <si>
    <t xml:space="preserve"> objective 4 Bmi outliers</t>
  </si>
  <si>
    <t>Objective 1 Tasks 
•	PCOD vs Exercise Minutes
•	PCOD vs Stress Level</t>
  </si>
  <si>
    <t>Pcod Cases:46%</t>
  </si>
  <si>
    <t>Avg stress level: 7</t>
  </si>
  <si>
    <t>Avg BMI:27</t>
  </si>
  <si>
    <t>Avgexercise:52%</t>
  </si>
  <si>
    <t>Avg SLEEP:7hrs</t>
  </si>
  <si>
    <t>Total Users :200</t>
  </si>
  <si>
    <t>Objective 5  : Design a comprehensive dashboard                                Analyze lifestyle impact on PCOD
Study relationship between diet and bloating
Identify factors contributing to abdominal fat
Analyze sleep hours and cycle regularity
Detect BMI outliers and health risk trends</t>
  </si>
  <si>
    <t>Lifestyle choices directly affect PCOD
Data analytics helps identify health risks
Dashboard promotes health awareness
Encourages healthier lifestyle among women
This project is not just a dashboard — it is an awareness tool._x000B_It helps women understand how sleep, stress, diet and exercise affect PCOD._x000B_</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</si>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</sst>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18"/>
      <color theme="1"/>
      <name val="Aptos Narrow"/>
      <family val="2"/>
      <scheme val="minor"/>
    </font>
    <font>
      <b/>
      <sz val="16"/>
      <color theme="1"/>
      <name val="Aptos Narrow"/>
      <family val="2"/>
      <scheme val="minor"/>
    </font>
    <font>
      <b/>
      <sz val="26"/>
      <color theme="1"/>
      <name val="Aptos Narrow"/>
      <family val="2"/>
      <scheme val="minor"/>
    </font>
    <font>
      <sz val="26"/>
      <color theme="1"/>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3" tint="0.499984740745262"/>
        <bgColor indexed="64"/>
      </patternFill>
    </fill>
    <fill>
      <patternFill patternType="solid">
        <fgColor theme="2"/>
        <bgColor indexed="64"/>
      </patternFill>
    </fill>
    <fill>
      <patternFill patternType="solid">
        <fgColor theme="4"/>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0" fontId="0" fillId="34" borderId="0" xfId="0" applyFill="1"/>
    <xf numFmtId="0" fontId="0" fillId="35" borderId="0" xfId="0" applyFill="1"/>
    <xf numFmtId="0" fontId="0" fillId="36" borderId="0" xfId="0" applyFill="1"/>
    <xf numFmtId="0" fontId="0" fillId="0" borderId="0" xfId="0" applyAlignment="1">
      <alignment horizontal="center"/>
    </xf>
    <xf numFmtId="0" fontId="20" fillId="34" borderId="0" xfId="0" applyFont="1" applyFill="1" applyAlignment="1">
      <alignment horizontal="center" wrapText="1"/>
    </xf>
    <xf numFmtId="0" fontId="0" fillId="34" borderId="0" xfId="0" applyFill="1" applyAlignment="1">
      <alignment horizontal="center"/>
    </xf>
    <xf numFmtId="0" fontId="0" fillId="33" borderId="0" xfId="0" applyFill="1" applyAlignment="1">
      <alignment horizontal="center"/>
    </xf>
    <xf numFmtId="0" fontId="19" fillId="34" borderId="0" xfId="0" applyFont="1" applyFill="1" applyAlignment="1">
      <alignment horizontal="center" wrapText="1"/>
    </xf>
    <xf numFmtId="0" fontId="18" fillId="35" borderId="0" xfId="0" applyFont="1" applyFill="1" applyAlignment="1">
      <alignment horizontal="center"/>
    </xf>
    <xf numFmtId="0" fontId="0" fillId="35" borderId="0" xfId="0" applyFill="1" applyAlignment="1">
      <alignment horizontal="center"/>
    </xf>
    <xf numFmtId="0" fontId="20" fillId="34" borderId="0" xfId="0" applyFont="1" applyFill="1" applyAlignment="1">
      <alignment horizontal="center"/>
    </xf>
    <xf numFmtId="0" fontId="0" fillId="38" borderId="0" xfId="0" applyFill="1" applyAlignment="1">
      <alignment horizontal="center"/>
    </xf>
    <xf numFmtId="0" fontId="0" fillId="39" borderId="0" xfId="0" applyFill="1" applyAlignment="1">
      <alignment horizontal="center"/>
    </xf>
    <xf numFmtId="0" fontId="0" fillId="37" borderId="0" xfId="0" applyFill="1" applyAlignment="1">
      <alignment horizontal="center"/>
    </xf>
    <xf numFmtId="0" fontId="0" fillId="40" borderId="0" xfId="0" applyFill="1" applyAlignment="1">
      <alignment horizontal="center"/>
    </xf>
    <xf numFmtId="0" fontId="0" fillId="41" borderId="0" xfId="0" applyFill="1" applyAlignment="1">
      <alignment horizontal="center"/>
    </xf>
    <xf numFmtId="0" fontId="0" fillId="42" borderId="0" xfId="0" applyFill="1" applyAlignment="1">
      <alignment horizontal="center"/>
    </xf>
    <xf numFmtId="0" fontId="0" fillId="0" borderId="0" xfId="0" applyNumberFormat="1"/>
    <xf numFmtId="0" fontId="21" fillId="0" borderId="0" xfId="0" applyFont="1" applyAlignment="1">
      <alignment horizontal="center"/>
    </xf>
    <xf numFmtId="0" fontId="0" fillId="0" borderId="0" xfId="0" applyFill="1"/>
    <xf numFmtId="0" fontId="21" fillId="43" borderId="0" xfId="0" applyFont="1" applyFill="1" applyAlignment="1">
      <alignment horizontal="left" vertical="top" wrapText="1"/>
    </xf>
    <xf numFmtId="0" fontId="0" fillId="43" borderId="0" xfId="0" applyFill="1" applyAlignment="1">
      <alignment horizontal="left" vertical="top"/>
    </xf>
    <xf numFmtId="0" fontId="21" fillId="44" borderId="0" xfId="0" applyFont="1" applyFill="1" applyAlignment="1">
      <alignment horizontal="left" wrapText="1"/>
    </xf>
    <xf numFmtId="0" fontId="21" fillId="44" borderId="0" xfId="0" applyFont="1" applyFill="1" applyAlignment="1">
      <alignment horizontal="left"/>
    </xf>
    <xf numFmtId="0" fontId="22" fillId="44" borderId="0" xfId="0" applyFont="1" applyFill="1" applyAlignment="1">
      <alignment horizontal="center"/>
    </xf>
    <xf numFmtId="0" fontId="0" fillId="44" borderId="0" xfId="0" applyFill="1" applyAlignment="1">
      <alignment horizontal="center"/>
    </xf>
    <xf numFmtId="0" fontId="0" fillId="4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1!PivotTable9</c:name>
    <c:fmtId val="1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pcod vs average exercise min per day</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 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62-48B9-8E03-2F2305EA10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62-48B9-8E03-2F2305EA10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1'!$A$4:$A$6</c:f>
              <c:strCache>
                <c:ptCount val="2"/>
                <c:pt idx="0">
                  <c:v>No</c:v>
                </c:pt>
                <c:pt idx="1">
                  <c:v>Yes</c:v>
                </c:pt>
              </c:strCache>
            </c:strRef>
          </c:cat>
          <c:val>
            <c:numRef>
              <c:f>'objective 1'!$B$4:$B$6</c:f>
              <c:numCache>
                <c:formatCode>General</c:formatCode>
                <c:ptCount val="2"/>
                <c:pt idx="0">
                  <c:v>30.14423076923077</c:v>
                </c:pt>
                <c:pt idx="1">
                  <c:v>33.125</c:v>
                </c:pt>
              </c:numCache>
            </c:numRef>
          </c:val>
          <c:extLst>
            <c:ext xmlns:c16="http://schemas.microsoft.com/office/drawing/2014/chart" uri="{C3380CC4-5D6E-409C-BE32-E72D297353CC}">
              <c16:uniqueId val="{00000004-5062-48B9-8E03-2F2305EA10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1!PivotTable10</c:name>
    <c:fmtId val="2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stress level vs pcod status</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'objective 1'!$H$3:$H$4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1'!$H$5:$H$8</c:f>
              <c:numCache>
                <c:formatCode>General</c:formatCode>
                <c:ptCount val="3"/>
                <c:pt idx="0">
                  <c:v>39</c:v>
                </c:pt>
                <c:pt idx="1">
                  <c:v>32</c:v>
                </c:pt>
                <c:pt idx="2">
                  <c:v>33</c:v>
                </c:pt>
              </c:numCache>
            </c:numRef>
          </c:val>
          <c:extLst>
            <c:ext xmlns:c16="http://schemas.microsoft.com/office/drawing/2014/chart" uri="{C3380CC4-5D6E-409C-BE32-E72D297353CC}">
              <c16:uniqueId val="{00000000-A13A-479F-AA2D-F9689CE2DD02}"/>
            </c:ext>
          </c:extLst>
        </c:ser>
        <c:ser>
          <c:idx val="1"/>
          <c:order val="1"/>
          <c:tx>
            <c:strRef>
              <c:f>'objective 1'!$I$3:$I$4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1'!$I$5:$I$8</c:f>
              <c:numCache>
                <c:formatCode>General</c:formatCode>
                <c:ptCount val="3"/>
                <c:pt idx="0">
                  <c:v>26</c:v>
                </c:pt>
                <c:pt idx="1">
                  <c:v>36</c:v>
                </c:pt>
                <c:pt idx="2">
                  <c:v>34</c:v>
                </c:pt>
              </c:numCache>
            </c:numRef>
          </c:val>
          <c:extLst>
            <c:ext xmlns:c16="http://schemas.microsoft.com/office/drawing/2014/chart" uri="{C3380CC4-5D6E-409C-BE32-E72D297353CC}">
              <c16:uniqueId val="{00000003-A13A-479F-AA2D-F9689CE2DD02}"/>
            </c:ext>
          </c:extLst>
        </c:ser>
        <c:dLbls>
          <c:showLegendKey val="0"/>
          <c:showVal val="0"/>
          <c:showCatName val="0"/>
          <c:showSerName val="0"/>
          <c:showPercent val="0"/>
          <c:showBubbleSize val="0"/>
        </c:dLbls>
        <c:gapWidth val="100"/>
        <c:overlap val="100"/>
        <c:axId val="1806428688"/>
        <c:axId val="1806422928"/>
      </c:barChart>
      <c:catAx>
        <c:axId val="1806428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2928"/>
        <c:crosses val="autoZero"/>
        <c:auto val="1"/>
        <c:lblAlgn val="ctr"/>
        <c:lblOffset val="100"/>
        <c:noMultiLvlLbl val="0"/>
      </c:catAx>
      <c:valAx>
        <c:axId val="1806422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(1).xlsx]status!PivotTable1</c:name>
    <c:fmtId val="21"/>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a:t>PCOD status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7346702584537"/>
          <c:y val="0.25502046764825648"/>
          <c:w val="0.89984179730360847"/>
          <c:h val="0.65811627207937018"/>
        </c:manualLayout>
      </c:layout>
      <c:barChart>
        <c:barDir val="col"/>
        <c:grouping val="clustered"/>
        <c:varyColors val="0"/>
        <c:ser>
          <c:idx val="0"/>
          <c:order val="0"/>
          <c:tx>
            <c:strRef>
              <c:f>status!$B$3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status!$A$4:$A$6</c:f>
              <c:strCache>
                <c:ptCount val="2"/>
                <c:pt idx="0">
                  <c:v>No</c:v>
                </c:pt>
                <c:pt idx="1">
                  <c:v>Yes</c:v>
                </c:pt>
              </c:strCache>
            </c:strRef>
          </c:cat>
          <c:val>
            <c:numRef>
              <c:f>status!$B$4:$B$6</c:f>
              <c:numCache>
                <c:formatCode>General</c:formatCode>
                <c:ptCount val="2"/>
                <c:pt idx="0">
                  <c:v>10857</c:v>
                </c:pt>
                <c:pt idx="1">
                  <c:v>9243</c:v>
                </c:pt>
              </c:numCache>
            </c:numRef>
          </c:val>
          <c:extLst>
            <c:ext xmlns:c16="http://schemas.microsoft.com/office/drawing/2014/chart" uri="{C3380CC4-5D6E-409C-BE32-E72D297353CC}">
              <c16:uniqueId val="{00000000-8ADE-4AD1-830E-5A83C42D3B64}"/>
            </c:ext>
          </c:extLst>
        </c:ser>
        <c:dLbls>
          <c:dLblPos val="outEnd"/>
          <c:showLegendKey val="0"/>
          <c:showVal val="1"/>
          <c:showCatName val="0"/>
          <c:showSerName val="0"/>
          <c:showPercent val="0"/>
          <c:showBubbleSize val="0"/>
        </c:dLbls>
        <c:gapWidth val="199"/>
        <c:axId val="427410176"/>
        <c:axId val="427414496"/>
      </c:barChart>
      <c:catAx>
        <c:axId val="42741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427414496"/>
        <c:crosses val="autoZero"/>
        <c:auto val="1"/>
        <c:lblAlgn val="ctr"/>
        <c:lblOffset val="100"/>
        <c:noMultiLvlLbl val="0"/>
      </c:catAx>
      <c:valAx>
        <c:axId val="4274144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274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(1).xlsx]objective2!PivotTable8</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sugar intake level vs bloating frequency</a:t>
            </a:r>
          </a:p>
        </c:rich>
      </c:tx>
      <c:layout>
        <c:manualLayout>
          <c:xMode val="edge"/>
          <c:yMode val="edge"/>
          <c:x val="0.45534182888865515"/>
          <c:y val="5.1411653338829535E-2"/>
        </c:manualLayout>
      </c:layout>
      <c:overlay val="0"/>
      <c:spPr>
        <a:solidFill>
          <a:schemeClr val="tx2">
            <a:lumMod val="90000"/>
            <a:lumOff val="1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14249781277340332"/>
          <c:w val="0.63888888888888884"/>
          <c:h val="0.66745042286380873"/>
        </c:manualLayout>
      </c:layout>
      <c:barChart>
        <c:barDir val="col"/>
        <c:grouping val="clustered"/>
        <c:varyColors val="0"/>
        <c:ser>
          <c:idx val="0"/>
          <c:order val="0"/>
          <c:tx>
            <c:strRef>
              <c:f>objective2!$H$3:$H$4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objective2!$G$5:$G$8</c:f>
              <c:strCache>
                <c:ptCount val="3"/>
                <c:pt idx="0">
                  <c:v>High</c:v>
                </c:pt>
                <c:pt idx="1">
                  <c:v>Low</c:v>
                </c:pt>
                <c:pt idx="2">
                  <c:v>Medium</c:v>
                </c:pt>
              </c:strCache>
            </c:strRef>
          </c:cat>
          <c:val>
            <c:numRef>
              <c:f>objective2!$H$5:$H$8</c:f>
              <c:numCache>
                <c:formatCode>General</c:formatCode>
                <c:ptCount val="3"/>
                <c:pt idx="0">
                  <c:v>23</c:v>
                </c:pt>
                <c:pt idx="1">
                  <c:v>23</c:v>
                </c:pt>
                <c:pt idx="2">
                  <c:v>22</c:v>
                </c:pt>
              </c:numCache>
            </c:numRef>
          </c:val>
          <c:extLst>
            <c:ext xmlns:c16="http://schemas.microsoft.com/office/drawing/2014/chart" uri="{C3380CC4-5D6E-409C-BE32-E72D297353CC}">
              <c16:uniqueId val="{00000000-8A6E-4E65-ADB7-10CEDCF4A9DF}"/>
            </c:ext>
          </c:extLst>
        </c:ser>
        <c:ser>
          <c:idx val="1"/>
          <c:order val="1"/>
          <c:tx>
            <c:strRef>
              <c:f>objective2!$I$3:$I$4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objective2!$G$5:$G$8</c:f>
              <c:strCache>
                <c:ptCount val="3"/>
                <c:pt idx="0">
                  <c:v>High</c:v>
                </c:pt>
                <c:pt idx="1">
                  <c:v>Low</c:v>
                </c:pt>
                <c:pt idx="2">
                  <c:v>Medium</c:v>
                </c:pt>
              </c:strCache>
            </c:strRef>
          </c:cat>
          <c:val>
            <c:numRef>
              <c:f>objective2!$I$5:$I$8</c:f>
              <c:numCache>
                <c:formatCode>General</c:formatCode>
                <c:ptCount val="3"/>
                <c:pt idx="0">
                  <c:v>22</c:v>
                </c:pt>
                <c:pt idx="1">
                  <c:v>23</c:v>
                </c:pt>
                <c:pt idx="2">
                  <c:v>24</c:v>
                </c:pt>
              </c:numCache>
            </c:numRef>
          </c:val>
          <c:extLst>
            <c:ext xmlns:c16="http://schemas.microsoft.com/office/drawing/2014/chart" uri="{C3380CC4-5D6E-409C-BE32-E72D297353CC}">
              <c16:uniqueId val="{00000001-8A6E-4E65-ADB7-10CEDCF4A9DF}"/>
            </c:ext>
          </c:extLst>
        </c:ser>
        <c:ser>
          <c:idx val="2"/>
          <c:order val="2"/>
          <c:tx>
            <c:strRef>
              <c:f>objective2!$J$3:$J$4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objective2!$G$5:$G$8</c:f>
              <c:strCache>
                <c:ptCount val="3"/>
                <c:pt idx="0">
                  <c:v>High</c:v>
                </c:pt>
                <c:pt idx="1">
                  <c:v>Low</c:v>
                </c:pt>
                <c:pt idx="2">
                  <c:v>Medium</c:v>
                </c:pt>
              </c:strCache>
            </c:strRef>
          </c:cat>
          <c:val>
            <c:numRef>
              <c:f>objective2!$J$5:$J$8</c:f>
              <c:numCache>
                <c:formatCode>General</c:formatCode>
                <c:ptCount val="3"/>
                <c:pt idx="0">
                  <c:v>21</c:v>
                </c:pt>
                <c:pt idx="1">
                  <c:v>28</c:v>
                </c:pt>
                <c:pt idx="2">
                  <c:v>14</c:v>
                </c:pt>
              </c:numCache>
            </c:numRef>
          </c:val>
          <c:extLst>
            <c:ext xmlns:c16="http://schemas.microsoft.com/office/drawing/2014/chart" uri="{C3380CC4-5D6E-409C-BE32-E72D297353CC}">
              <c16:uniqueId val="{00000002-8A6E-4E65-ADB7-10CEDCF4A9DF}"/>
            </c:ext>
          </c:extLst>
        </c:ser>
        <c:dLbls>
          <c:dLblPos val="outEnd"/>
          <c:showLegendKey val="0"/>
          <c:showVal val="1"/>
          <c:showCatName val="0"/>
          <c:showSerName val="0"/>
          <c:showPercent val="0"/>
          <c:showBubbleSize val="0"/>
        </c:dLbls>
        <c:gapWidth val="219"/>
        <c:overlap val="-27"/>
        <c:axId val="1562380752"/>
        <c:axId val="1562381232"/>
      </c:barChart>
      <c:catAx>
        <c:axId val="156238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2381232"/>
        <c:crosses val="autoZero"/>
        <c:auto val="1"/>
        <c:lblAlgn val="ctr"/>
        <c:lblOffset val="100"/>
        <c:noMultiLvlLbl val="0"/>
      </c:catAx>
      <c:valAx>
        <c:axId val="156238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2380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(1).xlsx]objective2!PivotTable7</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diet vs bloating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objective2!$B$3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B4-46AA-B50F-CD3B88E3CBC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8B4-46AA-B50F-CD3B88E3CBC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8B4-46AA-B50F-CD3B88E3CBC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objective2!$A$4:$A$7</c:f>
              <c:strCache>
                <c:ptCount val="3"/>
                <c:pt idx="0">
                  <c:v>Mixed</c:v>
                </c:pt>
                <c:pt idx="1">
                  <c:v>Non-Veg</c:v>
                </c:pt>
                <c:pt idx="2">
                  <c:v>Veg</c:v>
                </c:pt>
              </c:strCache>
            </c:strRef>
          </c:cat>
          <c:val>
            <c:numRef>
              <c:f>objective2!$B$4:$B$7</c:f>
              <c:numCache>
                <c:formatCode>General</c:formatCode>
                <c:ptCount val="3"/>
                <c:pt idx="0">
                  <c:v>66</c:v>
                </c:pt>
                <c:pt idx="1">
                  <c:v>70</c:v>
                </c:pt>
                <c:pt idx="2">
                  <c:v>64</c:v>
                </c:pt>
              </c:numCache>
            </c:numRef>
          </c:val>
          <c:extLst>
            <c:ext xmlns:c16="http://schemas.microsoft.com/office/drawing/2014/chart" uri="{C3380CC4-5D6E-409C-BE32-E72D297353CC}">
              <c16:uniqueId val="{00000006-B8B4-46AA-B50F-CD3B88E3CBC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(1).xlsx]objective3!PivotTable6</c:name>
    <c:fmtId val="21"/>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IN"/>
              <a:t>Exercise Minutes vs Abdominal Fat Level</a:t>
            </a:r>
          </a:p>
        </c:rich>
      </c:tx>
      <c:layout>
        <c:manualLayout>
          <c:xMode val="edge"/>
          <c:yMode val="edge"/>
          <c:x val="0.14683318390456468"/>
          <c:y val="8.801472673482983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objective3!$B$3:$B$4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objective3!$A$5:$A$10</c:f>
              <c:strCache>
                <c:ptCount val="5"/>
                <c:pt idx="0">
                  <c:v>0</c:v>
                </c:pt>
                <c:pt idx="1">
                  <c:v>15</c:v>
                </c:pt>
                <c:pt idx="2">
                  <c:v>30</c:v>
                </c:pt>
                <c:pt idx="3">
                  <c:v>45</c:v>
                </c:pt>
                <c:pt idx="4">
                  <c:v>60</c:v>
                </c:pt>
              </c:strCache>
            </c:strRef>
          </c:cat>
          <c:val>
            <c:numRef>
              <c:f>objective3!$B$5:$B$10</c:f>
              <c:numCache>
                <c:formatCode>General</c:formatCode>
                <c:ptCount val="5"/>
                <c:pt idx="0">
                  <c:v>7</c:v>
                </c:pt>
                <c:pt idx="1">
                  <c:v>20</c:v>
                </c:pt>
                <c:pt idx="2">
                  <c:v>13</c:v>
                </c:pt>
                <c:pt idx="3">
                  <c:v>13</c:v>
                </c:pt>
                <c:pt idx="4">
                  <c:v>15</c:v>
                </c:pt>
              </c:numCache>
            </c:numRef>
          </c:val>
          <c:extLst>
            <c:ext xmlns:c16="http://schemas.microsoft.com/office/drawing/2014/chart" uri="{C3380CC4-5D6E-409C-BE32-E72D297353CC}">
              <c16:uniqueId val="{00000000-CA5F-407B-8BFF-BF704B56AE7F}"/>
            </c:ext>
          </c:extLst>
        </c:ser>
        <c:ser>
          <c:idx val="1"/>
          <c:order val="1"/>
          <c:tx>
            <c:strRef>
              <c:f>objective3!$C$3:$C$4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objective3!$A$5:$A$10</c:f>
              <c:strCache>
                <c:ptCount val="5"/>
                <c:pt idx="0">
                  <c:v>0</c:v>
                </c:pt>
                <c:pt idx="1">
                  <c:v>15</c:v>
                </c:pt>
                <c:pt idx="2">
                  <c:v>30</c:v>
                </c:pt>
                <c:pt idx="3">
                  <c:v>45</c:v>
                </c:pt>
                <c:pt idx="4">
                  <c:v>60</c:v>
                </c:pt>
              </c:strCache>
            </c:strRef>
          </c:cat>
          <c:val>
            <c:numRef>
              <c:f>objective3!$C$5:$C$10</c:f>
              <c:numCache>
                <c:formatCode>General</c:formatCode>
                <c:ptCount val="5"/>
                <c:pt idx="0">
                  <c:v>10</c:v>
                </c:pt>
                <c:pt idx="1">
                  <c:v>10</c:v>
                </c:pt>
                <c:pt idx="2">
                  <c:v>8</c:v>
                </c:pt>
                <c:pt idx="3">
                  <c:v>11</c:v>
                </c:pt>
                <c:pt idx="4">
                  <c:v>18</c:v>
                </c:pt>
              </c:numCache>
            </c:numRef>
          </c:val>
          <c:extLst>
            <c:ext xmlns:c16="http://schemas.microsoft.com/office/drawing/2014/chart" uri="{C3380CC4-5D6E-409C-BE32-E72D297353CC}">
              <c16:uniqueId val="{00000001-CA5F-407B-8BFF-BF704B56AE7F}"/>
            </c:ext>
          </c:extLst>
        </c:ser>
        <c:ser>
          <c:idx val="2"/>
          <c:order val="2"/>
          <c:tx>
            <c:strRef>
              <c:f>objective3!$D$3:$D$4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objective3!$A$5:$A$10</c:f>
              <c:strCache>
                <c:ptCount val="5"/>
                <c:pt idx="0">
                  <c:v>0</c:v>
                </c:pt>
                <c:pt idx="1">
                  <c:v>15</c:v>
                </c:pt>
                <c:pt idx="2">
                  <c:v>30</c:v>
                </c:pt>
                <c:pt idx="3">
                  <c:v>45</c:v>
                </c:pt>
                <c:pt idx="4">
                  <c:v>60</c:v>
                </c:pt>
              </c:strCache>
            </c:strRef>
          </c:cat>
          <c:val>
            <c:numRef>
              <c:f>objective3!$D$5:$D$10</c:f>
              <c:numCache>
                <c:formatCode>General</c:formatCode>
                <c:ptCount val="5"/>
                <c:pt idx="0">
                  <c:v>15</c:v>
                </c:pt>
                <c:pt idx="1">
                  <c:v>15</c:v>
                </c:pt>
                <c:pt idx="2">
                  <c:v>14</c:v>
                </c:pt>
                <c:pt idx="3">
                  <c:v>22</c:v>
                </c:pt>
                <c:pt idx="4">
                  <c:v>9</c:v>
                </c:pt>
              </c:numCache>
            </c:numRef>
          </c:val>
          <c:extLst>
            <c:ext xmlns:c16="http://schemas.microsoft.com/office/drawing/2014/chart" uri="{C3380CC4-5D6E-409C-BE32-E72D297353CC}">
              <c16:uniqueId val="{00000002-CA5F-407B-8BFF-BF704B56AE7F}"/>
            </c:ext>
          </c:extLst>
        </c:ser>
        <c:dLbls>
          <c:showLegendKey val="0"/>
          <c:showVal val="1"/>
          <c:showCatName val="0"/>
          <c:showSerName val="0"/>
          <c:showPercent val="0"/>
          <c:showBubbleSize val="0"/>
        </c:dLbls>
        <c:gapWidth val="199"/>
        <c:overlap val="100"/>
        <c:axId val="888327952"/>
        <c:axId val="888338992"/>
      </c:barChart>
      <c:catAx>
        <c:axId val="8883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888338992"/>
        <c:crosses val="autoZero"/>
        <c:auto val="1"/>
        <c:lblAlgn val="ctr"/>
        <c:lblOffset val="100"/>
        <c:noMultiLvlLbl val="0"/>
      </c:catAx>
      <c:valAx>
        <c:axId val="8883389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832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5!PivotTable11</c:name>
    <c:fmtId val="2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CYCLE REGULARITY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5394694899375301"/>
          <c:w val="0.87750608155783827"/>
          <c:h val="0.36992503197365917"/>
        </c:manualLayout>
      </c:layout>
      <c:lineChart>
        <c:grouping val="standard"/>
        <c:varyColors val="0"/>
        <c:ser>
          <c:idx val="0"/>
          <c:order val="0"/>
          <c:tx>
            <c:strRef>
              <c:f>'objective 5'!$B$3</c:f>
              <c:strCache>
                <c:ptCount val="1"/>
                <c:pt idx="0">
                  <c:v>Total</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'objective 5'!$A$4:$A$6</c:f>
              <c:strCache>
                <c:ptCount val="2"/>
                <c:pt idx="0">
                  <c:v>Irregular</c:v>
                </c:pt>
                <c:pt idx="1">
                  <c:v>Regular</c:v>
                </c:pt>
              </c:strCache>
            </c:strRef>
          </c:cat>
          <c:val>
            <c:numRef>
              <c:f>'objective 5'!$B$4:$B$6</c:f>
              <c:numCache>
                <c:formatCode>General</c:formatCode>
                <c:ptCount val="2"/>
                <c:pt idx="0">
                  <c:v>9959</c:v>
                </c:pt>
                <c:pt idx="1">
                  <c:v>10141</c:v>
                </c:pt>
              </c:numCache>
            </c:numRef>
          </c:val>
          <c:smooth val="0"/>
          <c:extLst>
            <c:ext xmlns:c16="http://schemas.microsoft.com/office/drawing/2014/chart" uri="{C3380CC4-5D6E-409C-BE32-E72D297353CC}">
              <c16:uniqueId val="{00000000-0480-4B2E-A7C8-19C77CCF6445}"/>
            </c:ext>
          </c:extLst>
        </c:ser>
        <c:dLbls>
          <c:dLblPos val="ctr"/>
          <c:showLegendKey val="0"/>
          <c:showVal val="1"/>
          <c:showCatName val="0"/>
          <c:showSerName val="0"/>
          <c:showPercent val="0"/>
          <c:showBubbleSize val="0"/>
        </c:dLbls>
        <c:marker val="1"/>
        <c:smooth val="0"/>
        <c:axId val="1806415728"/>
        <c:axId val="1806430128"/>
      </c:lineChart>
      <c:catAx>
        <c:axId val="18064157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cycle</a:t>
                </a:r>
                <a:r>
                  <a:rPr lang="en-IN" baseline="0"/>
                  <a:t> regularity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06430128"/>
        <c:crosses val="autoZero"/>
        <c:auto val="1"/>
        <c:lblAlgn val="ctr"/>
        <c:lblOffset val="100"/>
        <c:noMultiLvlLbl val="0"/>
      </c:catAx>
      <c:valAx>
        <c:axId val="1806430128"/>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sum</a:t>
                </a:r>
                <a:r>
                  <a:rPr lang="en-IN" baseline="0"/>
                  <a:t> of users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0641572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SLEEP HOURS </a:t>
            </a:r>
          </a:p>
        </c:rich>
      </c:tx>
      <c:layout>
        <c:manualLayout>
          <c:xMode val="edge"/>
          <c:yMode val="edge"/>
          <c:x val="0.384090113735783"/>
          <c:y val="4.166666666666666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85895044003663"/>
          <c:y val="0.11051253742310518"/>
          <c:w val="0.78659586956135086"/>
          <c:h val="0.75364799172048147"/>
        </c:manualLayout>
      </c:layout>
      <c:bar3DChart>
        <c:barDir val="bar"/>
        <c:grouping val="clustered"/>
        <c:varyColors val="0"/>
        <c:ser>
          <c:idx val="0"/>
          <c:order val="0"/>
          <c:spPr>
            <a:pattFill prst="ltUpDiag">
              <a:fgClr>
                <a:schemeClr val="accent1"/>
              </a:fgClr>
              <a:bgClr>
                <a:schemeClr val="lt1"/>
              </a:bgClr>
            </a:pattFill>
            <a:ln>
              <a:noFill/>
            </a:ln>
            <a:effectLst/>
            <a:sp3d/>
          </c:spPr>
          <c:invertIfNegative val="0"/>
          <c:dLbls>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'objective 6'!$A$1:$A$5</c:f>
              <c:strCache>
                <c:ptCount val="5"/>
                <c:pt idx="0">
                  <c:v>MEAN OF SLEEP HOURS</c:v>
                </c:pt>
                <c:pt idx="1">
                  <c:v>MEDIAN OF SLEEP HOURS</c:v>
                </c:pt>
                <c:pt idx="2">
                  <c:v>MODE OF SLEEP HOURS</c:v>
                </c:pt>
                <c:pt idx="3">
                  <c:v>VARIANCE OF SLEEP HOURS</c:v>
                </c:pt>
                <c:pt idx="4">
                  <c:v>STANDARD DEVIATION</c:v>
                </c:pt>
              </c:strCache>
            </c:strRef>
          </c:cat>
          <c:val>
            <c:numRef>
              <c:f>'objective 6'!$B$1:$B$5</c:f>
              <c:numCache>
                <c:formatCode>General</c:formatCode>
                <c:ptCount val="5"/>
                <c:pt idx="0">
                  <c:v>7.03</c:v>
                </c:pt>
                <c:pt idx="1">
                  <c:v>7</c:v>
                </c:pt>
                <c:pt idx="2">
                  <c:v>5</c:v>
                </c:pt>
                <c:pt idx="3">
                  <c:v>2.2090999999999998</c:v>
                </c:pt>
                <c:pt idx="4">
                  <c:v>1.4863041411501214</c:v>
                </c:pt>
              </c:numCache>
            </c:numRef>
          </c:val>
          <c:extLst>
            <c:ext xmlns:c16="http://schemas.microsoft.com/office/drawing/2014/chart" uri="{C3380CC4-5D6E-409C-BE32-E72D297353CC}">
              <c16:uniqueId val="{00000000-05C6-44E3-9D57-EB90963CB82D}"/>
            </c:ext>
          </c:extLst>
        </c:ser>
        <c:dLbls>
          <c:showLegendKey val="0"/>
          <c:showVal val="1"/>
          <c:showCatName val="0"/>
          <c:showSerName val="0"/>
          <c:showPercent val="0"/>
          <c:showBubbleSize val="0"/>
        </c:dLbls>
        <c:gapWidth val="269"/>
        <c:shape val="box"/>
        <c:axId val="2006290848"/>
        <c:axId val="2006291328"/>
        <c:axId val="0"/>
      </c:bar3DChart>
      <c:catAx>
        <c:axId val="200629084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06291328"/>
        <c:crosses val="autoZero"/>
        <c:auto val="1"/>
        <c:lblAlgn val="ctr"/>
        <c:lblOffset val="100"/>
        <c:noMultiLvlLbl val="0"/>
      </c:catAx>
      <c:valAx>
        <c:axId val="200629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6290848"/>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pcod vs average exercise min per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 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AB-4306-A4F7-F5CD7FEA4A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AB-4306-A4F7-F5CD7FEA4A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1'!$A$4:$A$6</c:f>
              <c:strCache>
                <c:ptCount val="2"/>
                <c:pt idx="0">
                  <c:v>No</c:v>
                </c:pt>
                <c:pt idx="1">
                  <c:v>Yes</c:v>
                </c:pt>
              </c:strCache>
            </c:strRef>
          </c:cat>
          <c:val>
            <c:numRef>
              <c:f>'objective 1'!$B$4:$B$6</c:f>
              <c:numCache>
                <c:formatCode>General</c:formatCode>
                <c:ptCount val="2"/>
                <c:pt idx="0">
                  <c:v>30.14423076923077</c:v>
                </c:pt>
                <c:pt idx="1">
                  <c:v>33.125</c:v>
                </c:pt>
              </c:numCache>
            </c:numRef>
          </c:val>
          <c:extLst>
            <c:ext xmlns:c16="http://schemas.microsoft.com/office/drawing/2014/chart" uri="{C3380CC4-5D6E-409C-BE32-E72D297353CC}">
              <c16:uniqueId val="{00000000-261F-4C8E-9CB4-9BB9979C93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1!PivotTable10</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pcod</a:t>
            </a:r>
            <a:r>
              <a:rPr lang="en-IN" baseline="0"/>
              <a:t> vs stress level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1'!$H$5:$H$8</c:f>
              <c:numCache>
                <c:formatCode>General</c:formatCode>
                <c:ptCount val="3"/>
                <c:pt idx="0">
                  <c:v>39</c:v>
                </c:pt>
                <c:pt idx="1">
                  <c:v>32</c:v>
                </c:pt>
                <c:pt idx="2">
                  <c:v>33</c:v>
                </c:pt>
              </c:numCache>
            </c:numRef>
          </c:val>
          <c:extLst>
            <c:ext xmlns:c16="http://schemas.microsoft.com/office/drawing/2014/chart" uri="{C3380CC4-5D6E-409C-BE32-E72D297353CC}">
              <c16:uniqueId val="{00000000-C307-418C-8902-8B8F69E8FFAB}"/>
            </c:ext>
          </c:extLst>
        </c:ser>
        <c:ser>
          <c:idx val="1"/>
          <c:order val="1"/>
          <c:tx>
            <c:strRef>
              <c:f>'objective 1'!$I$3:$I$4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1'!$I$5:$I$8</c:f>
              <c:numCache>
                <c:formatCode>General</c:formatCode>
                <c:ptCount val="3"/>
                <c:pt idx="0">
                  <c:v>26</c:v>
                </c:pt>
                <c:pt idx="1">
                  <c:v>36</c:v>
                </c:pt>
                <c:pt idx="2">
                  <c:v>34</c:v>
                </c:pt>
              </c:numCache>
            </c:numRef>
          </c:val>
          <c:extLst>
            <c:ext xmlns:c16="http://schemas.microsoft.com/office/drawing/2014/chart" uri="{C3380CC4-5D6E-409C-BE32-E72D297353CC}">
              <c16:uniqueId val="{00000002-5E6A-463D-B02F-F0D8A68DF565}"/>
            </c:ext>
          </c:extLst>
        </c:ser>
        <c:dLbls>
          <c:dLblPos val="outEnd"/>
          <c:showLegendKey val="0"/>
          <c:showVal val="1"/>
          <c:showCatName val="0"/>
          <c:showSerName val="0"/>
          <c:showPercent val="0"/>
          <c:showBubbleSize val="0"/>
        </c:dLbls>
        <c:gapWidth val="100"/>
        <c:overlap val="-24"/>
        <c:axId val="1806428688"/>
        <c:axId val="1806422928"/>
      </c:barChart>
      <c:catAx>
        <c:axId val="1806428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2928"/>
        <c:crosses val="autoZero"/>
        <c:auto val="1"/>
        <c:lblAlgn val="ctr"/>
        <c:lblOffset val="100"/>
        <c:noMultiLvlLbl val="0"/>
      </c:catAx>
      <c:valAx>
        <c:axId val="180642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diet</a:t>
            </a:r>
            <a:r>
              <a:rPr lang="en-US" baseline="0"/>
              <a:t> vs bloating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objective2!$B$3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69-47F9-8551-EEE4F65CFE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69-47F9-8551-EEE4F65CFE0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F69-47F9-8551-EEE4F65CFE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objective2!$A$4:$A$7</c:f>
              <c:strCache>
                <c:ptCount val="3"/>
                <c:pt idx="0">
                  <c:v>Mixed</c:v>
                </c:pt>
                <c:pt idx="1">
                  <c:v>Non-Veg</c:v>
                </c:pt>
                <c:pt idx="2">
                  <c:v>Veg</c:v>
                </c:pt>
              </c:strCache>
            </c:strRef>
          </c:cat>
          <c:val>
            <c:numRef>
              <c:f>objective2!$B$4:$B$7</c:f>
              <c:numCache>
                <c:formatCode>General</c:formatCode>
                <c:ptCount val="3"/>
                <c:pt idx="0">
                  <c:v>66</c:v>
                </c:pt>
                <c:pt idx="1">
                  <c:v>70</c:v>
                </c:pt>
                <c:pt idx="2">
                  <c:v>64</c:v>
                </c:pt>
              </c:numCache>
            </c:numRef>
          </c:val>
          <c:extLst>
            <c:ext xmlns:c16="http://schemas.microsoft.com/office/drawing/2014/chart" uri="{C3380CC4-5D6E-409C-BE32-E72D297353CC}">
              <c16:uniqueId val="{00000000-D6BB-445A-B579-51B1516A1D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objective2!$H$3:$H$4</c:f>
              <c:strCache>
                <c:ptCount val="1"/>
                <c:pt idx="0">
                  <c:v>High</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objective2!$G$5:$G$8</c:f>
              <c:strCache>
                <c:ptCount val="3"/>
                <c:pt idx="0">
                  <c:v>High</c:v>
                </c:pt>
                <c:pt idx="1">
                  <c:v>Low</c:v>
                </c:pt>
                <c:pt idx="2">
                  <c:v>Medium</c:v>
                </c:pt>
              </c:strCache>
            </c:strRef>
          </c:cat>
          <c:val>
            <c:numRef>
              <c:f>objective2!$H$5:$H$8</c:f>
              <c:numCache>
                <c:formatCode>General</c:formatCode>
                <c:ptCount val="3"/>
                <c:pt idx="0">
                  <c:v>23</c:v>
                </c:pt>
                <c:pt idx="1">
                  <c:v>23</c:v>
                </c:pt>
                <c:pt idx="2">
                  <c:v>22</c:v>
                </c:pt>
              </c:numCache>
            </c:numRef>
          </c:val>
          <c:extLst>
            <c:ext xmlns:c16="http://schemas.microsoft.com/office/drawing/2014/chart" uri="{C3380CC4-5D6E-409C-BE32-E72D297353CC}">
              <c16:uniqueId val="{00000000-2E32-46E0-84FF-A7331EB88646}"/>
            </c:ext>
          </c:extLst>
        </c:ser>
        <c:ser>
          <c:idx val="1"/>
          <c:order val="1"/>
          <c:tx>
            <c:strRef>
              <c:f>objective2!$I$3:$I$4</c:f>
              <c:strCache>
                <c:ptCount val="1"/>
                <c:pt idx="0">
                  <c:v>Low</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objective2!$G$5:$G$8</c:f>
              <c:strCache>
                <c:ptCount val="3"/>
                <c:pt idx="0">
                  <c:v>High</c:v>
                </c:pt>
                <c:pt idx="1">
                  <c:v>Low</c:v>
                </c:pt>
                <c:pt idx="2">
                  <c:v>Medium</c:v>
                </c:pt>
              </c:strCache>
            </c:strRef>
          </c:cat>
          <c:val>
            <c:numRef>
              <c:f>objective2!$I$5:$I$8</c:f>
              <c:numCache>
                <c:formatCode>General</c:formatCode>
                <c:ptCount val="3"/>
                <c:pt idx="0">
                  <c:v>22</c:v>
                </c:pt>
                <c:pt idx="1">
                  <c:v>23</c:v>
                </c:pt>
                <c:pt idx="2">
                  <c:v>24</c:v>
                </c:pt>
              </c:numCache>
            </c:numRef>
          </c:val>
          <c:extLst>
            <c:ext xmlns:c16="http://schemas.microsoft.com/office/drawing/2014/chart" uri="{C3380CC4-5D6E-409C-BE32-E72D297353CC}">
              <c16:uniqueId val="{00000001-2E32-46E0-84FF-A7331EB88646}"/>
            </c:ext>
          </c:extLst>
        </c:ser>
        <c:ser>
          <c:idx val="2"/>
          <c:order val="2"/>
          <c:tx>
            <c:strRef>
              <c:f>objective2!$J$3:$J$4</c:f>
              <c:strCache>
                <c:ptCount val="1"/>
                <c:pt idx="0">
                  <c:v>Medium</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objective2!$G$5:$G$8</c:f>
              <c:strCache>
                <c:ptCount val="3"/>
                <c:pt idx="0">
                  <c:v>High</c:v>
                </c:pt>
                <c:pt idx="1">
                  <c:v>Low</c:v>
                </c:pt>
                <c:pt idx="2">
                  <c:v>Medium</c:v>
                </c:pt>
              </c:strCache>
            </c:strRef>
          </c:cat>
          <c:val>
            <c:numRef>
              <c:f>objective2!$J$5:$J$8</c:f>
              <c:numCache>
                <c:formatCode>General</c:formatCode>
                <c:ptCount val="3"/>
                <c:pt idx="0">
                  <c:v>21</c:v>
                </c:pt>
                <c:pt idx="1">
                  <c:v>28</c:v>
                </c:pt>
                <c:pt idx="2">
                  <c:v>14</c:v>
                </c:pt>
              </c:numCache>
            </c:numRef>
          </c:val>
          <c:extLst>
            <c:ext xmlns:c16="http://schemas.microsoft.com/office/drawing/2014/chart" uri="{C3380CC4-5D6E-409C-BE32-E72D297353CC}">
              <c16:uniqueId val="{00000002-2E32-46E0-84FF-A7331EB88646}"/>
            </c:ext>
          </c:extLst>
        </c:ser>
        <c:dLbls>
          <c:dLblPos val="outEnd"/>
          <c:showLegendKey val="0"/>
          <c:showVal val="1"/>
          <c:showCatName val="0"/>
          <c:showSerName val="0"/>
          <c:showPercent val="0"/>
          <c:showBubbleSize val="0"/>
        </c:dLbls>
        <c:gapWidth val="444"/>
        <c:overlap val="-90"/>
        <c:axId val="1562380752"/>
        <c:axId val="1562381232"/>
      </c:barChart>
      <c:catAx>
        <c:axId val="156238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562381232"/>
        <c:crosses val="autoZero"/>
        <c:auto val="1"/>
        <c:lblAlgn val="ctr"/>
        <c:lblOffset val="100"/>
        <c:noMultiLvlLbl val="0"/>
      </c:catAx>
      <c:valAx>
        <c:axId val="1562381232"/>
        <c:scaling>
          <c:orientation val="minMax"/>
        </c:scaling>
        <c:delete val="1"/>
        <c:axPos val="l"/>
        <c:numFmt formatCode="General" sourceLinked="1"/>
        <c:majorTickMark val="none"/>
        <c:minorTickMark val="none"/>
        <c:tickLblPos val="nextTo"/>
        <c:crossAx val="15623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(1).xlsx]objective3!PivotTable6</c:name>
    <c:fmtId val="0"/>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t>Exercise Minutes vs Abdominal Fat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objective3!$B$3:$B$4</c:f>
              <c:strCache>
                <c:ptCount val="1"/>
                <c:pt idx="0">
                  <c:v>High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objective3!$A$5:$A$10</c:f>
              <c:strCache>
                <c:ptCount val="5"/>
                <c:pt idx="0">
                  <c:v>0</c:v>
                </c:pt>
                <c:pt idx="1">
                  <c:v>15</c:v>
                </c:pt>
                <c:pt idx="2">
                  <c:v>30</c:v>
                </c:pt>
                <c:pt idx="3">
                  <c:v>45</c:v>
                </c:pt>
                <c:pt idx="4">
                  <c:v>60</c:v>
                </c:pt>
              </c:strCache>
            </c:strRef>
          </c:cat>
          <c:val>
            <c:numRef>
              <c:f>objective3!$B$5:$B$10</c:f>
              <c:numCache>
                <c:formatCode>General</c:formatCode>
                <c:ptCount val="5"/>
                <c:pt idx="0">
                  <c:v>7</c:v>
                </c:pt>
                <c:pt idx="1">
                  <c:v>20</c:v>
                </c:pt>
                <c:pt idx="2">
                  <c:v>13</c:v>
                </c:pt>
                <c:pt idx="3">
                  <c:v>13</c:v>
                </c:pt>
                <c:pt idx="4">
                  <c:v>15</c:v>
                </c:pt>
              </c:numCache>
            </c:numRef>
          </c:val>
          <c:extLst>
            <c:ext xmlns:c16="http://schemas.microsoft.com/office/drawing/2014/chart" uri="{C3380CC4-5D6E-409C-BE32-E72D297353CC}">
              <c16:uniqueId val="{00000000-8FA4-43F4-B01E-BB8ABCCA715D}"/>
            </c:ext>
          </c:extLst>
        </c:ser>
        <c:ser>
          <c:idx val="1"/>
          <c:order val="1"/>
          <c:tx>
            <c:strRef>
              <c:f>objective3!$C$3:$C$4</c:f>
              <c:strCache>
                <c:ptCount val="1"/>
                <c:pt idx="0">
                  <c:v>Low</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objective3!$A$5:$A$10</c:f>
              <c:strCache>
                <c:ptCount val="5"/>
                <c:pt idx="0">
                  <c:v>0</c:v>
                </c:pt>
                <c:pt idx="1">
                  <c:v>15</c:v>
                </c:pt>
                <c:pt idx="2">
                  <c:v>30</c:v>
                </c:pt>
                <c:pt idx="3">
                  <c:v>45</c:v>
                </c:pt>
                <c:pt idx="4">
                  <c:v>60</c:v>
                </c:pt>
              </c:strCache>
            </c:strRef>
          </c:cat>
          <c:val>
            <c:numRef>
              <c:f>objective3!$C$5:$C$10</c:f>
              <c:numCache>
                <c:formatCode>General</c:formatCode>
                <c:ptCount val="5"/>
                <c:pt idx="0">
                  <c:v>10</c:v>
                </c:pt>
                <c:pt idx="1">
                  <c:v>10</c:v>
                </c:pt>
                <c:pt idx="2">
                  <c:v>8</c:v>
                </c:pt>
                <c:pt idx="3">
                  <c:v>11</c:v>
                </c:pt>
                <c:pt idx="4">
                  <c:v>18</c:v>
                </c:pt>
              </c:numCache>
            </c:numRef>
          </c:val>
          <c:extLst>
            <c:ext xmlns:c16="http://schemas.microsoft.com/office/drawing/2014/chart" uri="{C3380CC4-5D6E-409C-BE32-E72D297353CC}">
              <c16:uniqueId val="{00000001-8FA4-43F4-B01E-BB8ABCCA715D}"/>
            </c:ext>
          </c:extLst>
        </c:ser>
        <c:ser>
          <c:idx val="2"/>
          <c:order val="2"/>
          <c:tx>
            <c:strRef>
              <c:f>objective3!$D$3:$D$4</c:f>
              <c:strCache>
                <c:ptCount val="1"/>
                <c:pt idx="0">
                  <c:v>Medium</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objective3!$A$5:$A$10</c:f>
              <c:strCache>
                <c:ptCount val="5"/>
                <c:pt idx="0">
                  <c:v>0</c:v>
                </c:pt>
                <c:pt idx="1">
                  <c:v>15</c:v>
                </c:pt>
                <c:pt idx="2">
                  <c:v>30</c:v>
                </c:pt>
                <c:pt idx="3">
                  <c:v>45</c:v>
                </c:pt>
                <c:pt idx="4">
                  <c:v>60</c:v>
                </c:pt>
              </c:strCache>
            </c:strRef>
          </c:cat>
          <c:val>
            <c:numRef>
              <c:f>objective3!$D$5:$D$10</c:f>
              <c:numCache>
                <c:formatCode>General</c:formatCode>
                <c:ptCount val="5"/>
                <c:pt idx="0">
                  <c:v>15</c:v>
                </c:pt>
                <c:pt idx="1">
                  <c:v>15</c:v>
                </c:pt>
                <c:pt idx="2">
                  <c:v>14</c:v>
                </c:pt>
                <c:pt idx="3">
                  <c:v>22</c:v>
                </c:pt>
                <c:pt idx="4">
                  <c:v>9</c:v>
                </c:pt>
              </c:numCache>
            </c:numRef>
          </c:val>
          <c:extLst>
            <c:ext xmlns:c16="http://schemas.microsoft.com/office/drawing/2014/chart" uri="{C3380CC4-5D6E-409C-BE32-E72D297353CC}">
              <c16:uniqueId val="{00000002-8FA4-43F4-B01E-BB8ABCCA715D}"/>
            </c:ext>
          </c:extLst>
        </c:ser>
        <c:dLbls>
          <c:dLblPos val="outEnd"/>
          <c:showLegendKey val="0"/>
          <c:showVal val="1"/>
          <c:showCatName val="0"/>
          <c:showSerName val="0"/>
          <c:showPercent val="0"/>
          <c:showBubbleSize val="0"/>
        </c:dLbls>
        <c:gapWidth val="315"/>
        <c:overlap val="-40"/>
        <c:axId val="888327952"/>
        <c:axId val="888338992"/>
      </c:barChart>
      <c:catAx>
        <c:axId val="888327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8338992"/>
        <c:crosses val="autoZero"/>
        <c:auto val="1"/>
        <c:lblAlgn val="ctr"/>
        <c:lblOffset val="100"/>
        <c:noMultiLvlLbl val="0"/>
      </c:catAx>
      <c:valAx>
        <c:axId val="888338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832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5!PivotTable11</c:name>
    <c:fmtId val="0"/>
  </c:pivotSource>
  <c:chart>
    <c:title>
      <c:tx>
        <c:rich>
          <a:bodyPr rot="0" spcFirstLastPara="1" vertOverflow="ellipsis" vert="horz" wrap="square" anchor="ctr" anchorCtr="1"/>
          <a:lstStyle/>
          <a:p>
            <a:pPr>
              <a:defRPr sz="1440" b="0" i="0" u="none" strike="noStrike" kern="1200" cap="all" spc="0" baseline="0">
                <a:solidFill>
                  <a:schemeClr val="dk1"/>
                </a:solidFill>
                <a:latin typeface="+mn-lt"/>
                <a:ea typeface="+mn-ea"/>
                <a:cs typeface="+mn-cs"/>
              </a:defRPr>
            </a:pPr>
            <a:r>
              <a:rPr lang="en-US"/>
              <a:t>CYCLE REGULARITY</a:t>
            </a:r>
          </a:p>
        </c:rich>
      </c:tx>
      <c:overlay val="0"/>
      <c:spPr>
        <a:noFill/>
        <a:ln>
          <a:noFill/>
        </a:ln>
        <a:effectLst/>
      </c:spPr>
      <c:txPr>
        <a:bodyPr rot="0" spcFirstLastPara="1" vertOverflow="ellipsis" vert="horz" wrap="square" anchor="ctr" anchorCtr="1"/>
        <a:lstStyle/>
        <a:p>
          <a:pPr>
            <a:defRPr sz="1440" b="0" i="0" u="none" strike="noStrike" kern="1200" cap="all" spc="0" baseline="0">
              <a:solidFill>
                <a:schemeClr val="dk1"/>
              </a:solidFill>
              <a:latin typeface="+mn-lt"/>
              <a:ea typeface="+mn-ea"/>
              <a:cs typeface="+mn-cs"/>
            </a:defRPr>
          </a:pPr>
          <a:endParaRPr lang="en-US"/>
        </a:p>
      </c:txPr>
    </c:title>
    <c:autoTitleDeleted val="0"/>
    <c:pivotFmts>
      <c:pivotFmt>
        <c:idx val="0"/>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5'!$B$3</c:f>
              <c:strCache>
                <c:ptCount val="1"/>
                <c:pt idx="0">
                  <c:v>Total</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'objective 5'!$A$4:$A$6</c:f>
              <c:strCache>
                <c:ptCount val="2"/>
                <c:pt idx="0">
                  <c:v>Irregular</c:v>
                </c:pt>
                <c:pt idx="1">
                  <c:v>Regular</c:v>
                </c:pt>
              </c:strCache>
            </c:strRef>
          </c:cat>
          <c:val>
            <c:numRef>
              <c:f>'objective 5'!$B$4:$B$6</c:f>
              <c:numCache>
                <c:formatCode>General</c:formatCode>
                <c:ptCount val="2"/>
                <c:pt idx="0">
                  <c:v>9959</c:v>
                </c:pt>
                <c:pt idx="1">
                  <c:v>10141</c:v>
                </c:pt>
              </c:numCache>
            </c:numRef>
          </c:val>
          <c:smooth val="0"/>
          <c:extLst>
            <c:ext xmlns:c16="http://schemas.microsoft.com/office/drawing/2014/chart" uri="{C3380CC4-5D6E-409C-BE32-E72D297353CC}">
              <c16:uniqueId val="{00000000-0273-4E54-BD08-59213FAC554B}"/>
            </c:ext>
          </c:extLst>
        </c:ser>
        <c:dLbls>
          <c:dLblPos val="ctr"/>
          <c:showLegendKey val="0"/>
          <c:showVal val="1"/>
          <c:showCatName val="0"/>
          <c:showSerName val="0"/>
          <c:showPercent val="0"/>
          <c:showBubbleSize val="0"/>
        </c:dLbls>
        <c:marker val="1"/>
        <c:smooth val="0"/>
        <c:axId val="1806415728"/>
        <c:axId val="1806430128"/>
      </c:lineChart>
      <c:catAx>
        <c:axId val="18064157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806430128"/>
        <c:crosses val="autoZero"/>
        <c:auto val="1"/>
        <c:lblAlgn val="ctr"/>
        <c:lblOffset val="100"/>
        <c:noMultiLvlLbl val="0"/>
      </c:catAx>
      <c:valAx>
        <c:axId val="1806430128"/>
        <c:scaling>
          <c:orientation val="minMax"/>
        </c:scaling>
        <c:delete val="1"/>
        <c:axPos val="l"/>
        <c:numFmt formatCode="General" sourceLinked="1"/>
        <c:majorTickMark val="none"/>
        <c:minorTickMark val="none"/>
        <c:tickLblPos val="nextTo"/>
        <c:crossAx val="18064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IN"/>
              <a:t>SLEEP HOURS </a:t>
            </a:r>
          </a:p>
        </c:rich>
      </c:tx>
      <c:layout>
        <c:manualLayout>
          <c:xMode val="edge"/>
          <c:yMode val="edge"/>
          <c:x val="0.384090113735783"/>
          <c:y val="4.166666666666666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lotArea>
      <c:layout>
        <c:manualLayout>
          <c:layoutTarget val="inner"/>
          <c:xMode val="edge"/>
          <c:yMode val="edge"/>
          <c:x val="0.37714107611548564"/>
          <c:y val="0.20050925925925925"/>
          <c:w val="0.57485892388451443"/>
          <c:h val="0.71560987168270629"/>
        </c:manualLayout>
      </c:layout>
      <c:barChart>
        <c:barDir val="bar"/>
        <c:grouping val="clustered"/>
        <c:varyColors val="0"/>
        <c:ser>
          <c:idx val="0"/>
          <c:order val="0"/>
          <c:spPr>
            <a:pattFill prst="ltUpDiag">
              <a:fgClr>
                <a:schemeClr val="accent1"/>
              </a:fgClr>
              <a:bgClr>
                <a:schemeClr val="lt1"/>
              </a:bgClr>
            </a:pattFill>
            <a:ln>
              <a:noFill/>
            </a:ln>
            <a:effectLst/>
          </c:spPr>
          <c:invertIfNegative val="0"/>
          <c:dLbls>
            <c:spPr>
              <a:solidFill>
                <a:schemeClr val="accent1">
                  <a:alpha val="7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'objective 6'!$A$1:$A$5</c:f>
              <c:strCache>
                <c:ptCount val="5"/>
                <c:pt idx="0">
                  <c:v>MEAN OF SLEEP HOURS</c:v>
                </c:pt>
                <c:pt idx="1">
                  <c:v>MEDIAN OF SLEEP HOURS</c:v>
                </c:pt>
                <c:pt idx="2">
                  <c:v>MODE OF SLEEP HOURS</c:v>
                </c:pt>
                <c:pt idx="3">
                  <c:v>VARIANCE OF SLEEP HOURS</c:v>
                </c:pt>
                <c:pt idx="4">
                  <c:v>STANDARD DEVIATION</c:v>
                </c:pt>
              </c:strCache>
            </c:strRef>
          </c:cat>
          <c:val>
            <c:numRef>
              <c:f>'objective 6'!$B$1:$B$5</c:f>
              <c:numCache>
                <c:formatCode>General</c:formatCode>
                <c:ptCount val="5"/>
                <c:pt idx="0">
                  <c:v>7.03</c:v>
                </c:pt>
                <c:pt idx="1">
                  <c:v>7</c:v>
                </c:pt>
                <c:pt idx="2">
                  <c:v>5</c:v>
                </c:pt>
                <c:pt idx="3">
                  <c:v>2.2090999999999998</c:v>
                </c:pt>
                <c:pt idx="4">
                  <c:v>1.4863041411501214</c:v>
                </c:pt>
              </c:numCache>
            </c:numRef>
          </c:val>
          <c:extLst>
            <c:ext xmlns:c16="http://schemas.microsoft.com/office/drawing/2014/chart" uri="{C3380CC4-5D6E-409C-BE32-E72D297353CC}">
              <c16:uniqueId val="{00000000-74B1-4E39-87A6-176463921672}"/>
            </c:ext>
          </c:extLst>
        </c:ser>
        <c:dLbls>
          <c:dLblPos val="outEnd"/>
          <c:showLegendKey val="0"/>
          <c:showVal val="1"/>
          <c:showCatName val="0"/>
          <c:showSerName val="0"/>
          <c:showPercent val="0"/>
          <c:showBubbleSize val="0"/>
        </c:dLbls>
        <c:gapWidth val="269"/>
        <c:overlap val="-20"/>
        <c:axId val="2006290848"/>
        <c:axId val="2006291328"/>
      </c:barChart>
      <c:catAx>
        <c:axId val="200629084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dk1"/>
                </a:solidFill>
                <a:latin typeface="+mn-lt"/>
                <a:ea typeface="+mn-ea"/>
                <a:cs typeface="+mn-cs"/>
              </a:defRPr>
            </a:pPr>
            <a:endParaRPr lang="en-US"/>
          </a:p>
        </c:txPr>
        <c:crossAx val="2006291328"/>
        <c:crosses val="autoZero"/>
        <c:auto val="1"/>
        <c:lblAlgn val="ctr"/>
        <c:lblOffset val="100"/>
        <c:noMultiLvlLbl val="0"/>
      </c:catAx>
      <c:valAx>
        <c:axId val="20062913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6290848"/>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(1).xlsx]status!PivotTable1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PCOD</a:t>
            </a:r>
            <a:r>
              <a:rPr lang="en-US" baseline="0">
                <a:solidFill>
                  <a:schemeClr val="bg1"/>
                </a:solidFill>
              </a:rPr>
              <a:t> status</a:t>
            </a:r>
            <a:endParaRPr lang="en-US">
              <a:solidFill>
                <a:schemeClr val="bg1"/>
              </a:solidFill>
            </a:endParaRPr>
          </a:p>
        </c:rich>
      </c:tx>
      <c:overlay val="0"/>
      <c:spPr>
        <a:solidFill>
          <a:schemeClr val="tx2">
            <a:lumMod val="90000"/>
            <a:lumOff val="1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status!$B$3</c:f>
              <c:strCache>
                <c:ptCount val="1"/>
                <c:pt idx="0">
                  <c:v>Total</c:v>
                </c:pt>
              </c:strCache>
            </c:strRef>
          </c:tx>
          <c:spPr>
            <a:solidFill>
              <a:schemeClr val="accent1"/>
            </a:solidFill>
            <a:ln w="19050">
              <a:solidFill>
                <a:schemeClr val="lt1"/>
              </a:solidFill>
            </a:ln>
            <a:effectLst/>
          </c:spPr>
          <c:invertIfNegative val="0"/>
          <c:cat>
            <c:strRef>
              <c:f>status!$A$4:$A$6</c:f>
              <c:strCache>
                <c:ptCount val="2"/>
                <c:pt idx="0">
                  <c:v>No</c:v>
                </c:pt>
                <c:pt idx="1">
                  <c:v>Yes</c:v>
                </c:pt>
              </c:strCache>
            </c:strRef>
          </c:cat>
          <c:val>
            <c:numRef>
              <c:f>status!$B$4:$B$6</c:f>
              <c:numCache>
                <c:formatCode>General</c:formatCode>
                <c:ptCount val="2"/>
                <c:pt idx="0">
                  <c:v>10857</c:v>
                </c:pt>
                <c:pt idx="1">
                  <c:v>9243</c:v>
                </c:pt>
              </c:numCache>
            </c:numRef>
          </c:val>
          <c:extLst>
            <c:ext xmlns:c16="http://schemas.microsoft.com/office/drawing/2014/chart" uri="{C3380CC4-5D6E-409C-BE32-E72D297353CC}">
              <c16:uniqueId val="{00000000-5917-4AB7-935C-D36E4339DAF0}"/>
            </c:ext>
          </c:extLst>
        </c:ser>
        <c:dLbls>
          <c:showLegendKey val="0"/>
          <c:showVal val="0"/>
          <c:showCatName val="0"/>
          <c:showSerName val="0"/>
          <c:showPercent val="0"/>
          <c:showBubbleSize val="0"/>
        </c:dLbls>
        <c:gapWidth val="150"/>
        <c:axId val="427410176"/>
        <c:axId val="427414496"/>
      </c:barChart>
      <c:catAx>
        <c:axId val="42741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14496"/>
        <c:crosses val="autoZero"/>
        <c:auto val="1"/>
        <c:lblAlgn val="ctr"/>
        <c:lblOffset val="100"/>
        <c:noMultiLvlLbl val="0"/>
      </c:catAx>
      <c:valAx>
        <c:axId val="4274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bmi  outlier analysis</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Aptos Narrow" panose="02110004020202020204"/>
            </a:rPr>
            <a:t>bmi  outlier analysis</a:t>
          </a:r>
        </a:p>
      </cx:txPr>
    </cx:title>
    <cx:plotArea>
      <cx:plotAreaRegion>
        <cx:series layoutId="boxWhisker" uniqueId="{421C308F-12C8-4BDB-9120-2FBADE0538C6}">
          <cx:tx>
            <cx:txData>
              <cx:f>_xlchart.v1.0</cx:f>
              <cx:v>BMI</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bmi OTLIERS</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Aptos Narrow" panose="02110004020202020204"/>
            </a:rPr>
            <a:t>bmi OTLIERS</a:t>
          </a:r>
        </a:p>
      </cx:txPr>
    </cx:title>
    <cx:plotArea>
      <cx:plotAreaRegion>
        <cx:series layoutId="boxWhisker" uniqueId="{421C308F-12C8-4BDB-9120-2FBADE0538C6}">
          <cx:tx>
            <cx:txData>
              <cx:f>_xlchart.v1.2</cx:f>
              <cx:v>BMI</cx:v>
            </cx:txData>
          </cx:tx>
          <cx:dataLabels>
            <cx:visibility seriesName="0" categoryName="0" value="1"/>
          </cx:dataLabels>
          <cx:dataId val="0"/>
          <cx:layoutPr>
            <cx:visibility meanLine="0" meanMarker="0" nonoutliers="0" outliers="1"/>
            <cx:statistics quartileMethod="exclusive"/>
          </cx:layoutPr>
        </cx:series>
      </cx:plotAreaRegion>
      <cx:axis id="0">
        <cx:catScaling gapWidth="1.10000002"/>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21</xdr:col>
      <xdr:colOff>87925</xdr:colOff>
      <xdr:row>3</xdr:row>
      <xdr:rowOff>19538</xdr:rowOff>
    </xdr:from>
    <xdr:to>
      <xdr:col>25</xdr:col>
      <xdr:colOff>488461</xdr:colOff>
      <xdr:row>23</xdr:row>
      <xdr:rowOff>156307</xdr:rowOff>
    </xdr:to>
    <mc:AlternateContent xmlns:mc="http://schemas.openxmlformats.org/markup-compatibility/2006">
      <mc:Choice xmlns:a14="http://schemas.microsoft.com/office/drawing/2010/main" Requires="a14">
        <xdr:graphicFrame macro="">
          <xdr:nvGraphicFramePr>
            <xdr:cNvPr id="2" name="PCOD_Status 2">
              <a:extLst>
                <a:ext uri="{FF2B5EF4-FFF2-40B4-BE49-F238E27FC236}">
                  <a16:creationId xmlns:a16="http://schemas.microsoft.com/office/drawing/2014/main" id="{D5B8211D-DAD3-41CB-A79C-E444946B8713}"/>
                </a:ext>
              </a:extLst>
            </xdr:cNvPr>
            <xdr:cNvGraphicFramePr/>
          </xdr:nvGraphicFramePr>
          <xdr:xfrm>
            <a:off x="0" y="0"/>
            <a:ext cx="0" cy="0"/>
          </xdr:xfrm>
          <a:graphic>
            <a:graphicData uri="http://schemas.microsoft.com/office/drawing/2010/slicer">
              <sle:slicer xmlns:sle="http://schemas.microsoft.com/office/drawing/2010/slicer" name="PCOD_Status 2"/>
            </a:graphicData>
          </a:graphic>
        </xdr:graphicFrame>
      </mc:Choice>
      <mc:Fallback>
        <xdr:sp macro="" textlink="">
          <xdr:nvSpPr>
            <xdr:cNvPr id="0" name=""/>
            <xdr:cNvSpPr>
              <a:spLocks noTextEdit="1"/>
            </xdr:cNvSpPr>
          </xdr:nvSpPr>
          <xdr:spPr>
            <a:xfrm>
              <a:off x="13041925" y="563824"/>
              <a:ext cx="2867965" cy="376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600808</xdr:colOff>
      <xdr:row>6</xdr:row>
      <xdr:rowOff>39078</xdr:rowOff>
    </xdr:from>
    <xdr:to>
      <xdr:col>8</xdr:col>
      <xdr:colOff>390770</xdr:colOff>
      <xdr:row>18</xdr:row>
      <xdr:rowOff>43961</xdr:rowOff>
    </xdr:to>
    <xdr:graphicFrame macro="">
      <xdr:nvGraphicFramePr>
        <xdr:cNvPr id="3" name="Chart 2">
          <a:extLst>
            <a:ext uri="{FF2B5EF4-FFF2-40B4-BE49-F238E27FC236}">
              <a16:creationId xmlns:a16="http://schemas.microsoft.com/office/drawing/2014/main" id="{01CBD56D-3B99-43C7-A53C-0BF31224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410308</xdr:colOff>
      <xdr:row>6</xdr:row>
      <xdr:rowOff>19539</xdr:rowOff>
    </xdr:from>
    <xdr:to>
      <xdr:col>15</xdr:col>
      <xdr:colOff>390769</xdr:colOff>
      <xdr:row>18</xdr:row>
      <xdr:rowOff>97692</xdr:rowOff>
    </xdr:to>
    <xdr:graphicFrame macro="">
      <xdr:nvGraphicFramePr>
        <xdr:cNvPr id="4" name="Chart 3">
          <a:extLst>
            <a:ext uri="{FF2B5EF4-FFF2-40B4-BE49-F238E27FC236}">
              <a16:creationId xmlns:a16="http://schemas.microsoft.com/office/drawing/2014/main" id="{3D200AC8-A1C9-436A-8ABB-72E40CD62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420078</xdr:colOff>
      <xdr:row>6</xdr:row>
      <xdr:rowOff>9770</xdr:rowOff>
    </xdr:from>
    <xdr:to>
      <xdr:col>21</xdr:col>
      <xdr:colOff>78155</xdr:colOff>
      <xdr:row>23</xdr:row>
      <xdr:rowOff>156308</xdr:rowOff>
    </xdr:to>
    <xdr:graphicFrame macro="">
      <xdr:nvGraphicFramePr>
        <xdr:cNvPr id="5" name="Chart 4">
          <a:extLst>
            <a:ext uri="{FF2B5EF4-FFF2-40B4-BE49-F238E27FC236}">
              <a16:creationId xmlns:a16="http://schemas.microsoft.com/office/drawing/2014/main" id="{50DFD93F-5879-4825-8BEF-A43FABFC6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439615</xdr:colOff>
      <xdr:row>23</xdr:row>
      <xdr:rowOff>175845</xdr:rowOff>
    </xdr:from>
    <xdr:to>
      <xdr:col>25</xdr:col>
      <xdr:colOff>580571</xdr:colOff>
      <xdr:row>42</xdr:row>
      <xdr:rowOff>48846</xdr:rowOff>
    </xdr:to>
    <xdr:graphicFrame macro="">
      <xdr:nvGraphicFramePr>
        <xdr:cNvPr id="6" name="Chart 5">
          <a:extLst>
            <a:ext uri="{FF2B5EF4-FFF2-40B4-BE49-F238E27FC236}">
              <a16:creationId xmlns:a16="http://schemas.microsoft.com/office/drawing/2014/main" id="{80962D42-A7AD-476D-86FF-9391C5117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366346</xdr:colOff>
      <xdr:row>18</xdr:row>
      <xdr:rowOff>87922</xdr:rowOff>
    </xdr:from>
    <xdr:to>
      <xdr:col>15</xdr:col>
      <xdr:colOff>429845</xdr:colOff>
      <xdr:row>36</xdr:row>
      <xdr:rowOff>43961</xdr:rowOff>
    </xdr:to>
    <xdr:graphicFrame macro="">
      <xdr:nvGraphicFramePr>
        <xdr:cNvPr id="7" name="Chart 6">
          <a:extLst>
            <a:ext uri="{FF2B5EF4-FFF2-40B4-BE49-F238E27FC236}">
              <a16:creationId xmlns:a16="http://schemas.microsoft.com/office/drawing/2014/main" id="{944DB523-15A6-4CAF-884D-A65EDD369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571501</xdr:colOff>
      <xdr:row>18</xdr:row>
      <xdr:rowOff>102578</xdr:rowOff>
    </xdr:from>
    <xdr:to>
      <xdr:col>9</xdr:col>
      <xdr:colOff>366347</xdr:colOff>
      <xdr:row>34</xdr:row>
      <xdr:rowOff>161193</xdr:rowOff>
    </xdr:to>
    <xdr:graphicFrame macro="">
      <xdr:nvGraphicFramePr>
        <xdr:cNvPr id="8" name="Chart 7">
          <a:extLst>
            <a:ext uri="{FF2B5EF4-FFF2-40B4-BE49-F238E27FC236}">
              <a16:creationId xmlns:a16="http://schemas.microsoft.com/office/drawing/2014/main" id="{B09D7F45-45AE-4E58-BC44-0B5D09E4B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322384</xdr:colOff>
      <xdr:row>36</xdr:row>
      <xdr:rowOff>58615</xdr:rowOff>
    </xdr:from>
    <xdr:to>
      <xdr:col>15</xdr:col>
      <xdr:colOff>424962</xdr:colOff>
      <xdr:row>61</xdr:row>
      <xdr:rowOff>131885</xdr:rowOff>
    </xdr:to>
    <xdr:graphicFrame macro="">
      <xdr:nvGraphicFramePr>
        <xdr:cNvPr id="9" name="Chart 8">
          <a:extLst>
            <a:ext uri="{FF2B5EF4-FFF2-40B4-BE49-F238E27FC236}">
              <a16:creationId xmlns:a16="http://schemas.microsoft.com/office/drawing/2014/main" id="{244E6A80-0DA4-463C-AA38-EAA81C0FA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512884</xdr:colOff>
      <xdr:row>34</xdr:row>
      <xdr:rowOff>161193</xdr:rowOff>
    </xdr:from>
    <xdr:to>
      <xdr:col>9</xdr:col>
      <xdr:colOff>293075</xdr:colOff>
      <xdr:row>61</xdr:row>
      <xdr:rowOff>73270</xdr:rowOff>
    </xdr:to>
    <xdr:graphicFrame macro="">
      <xdr:nvGraphicFramePr>
        <xdr:cNvPr id="10" name="Chart 9">
          <a:extLst>
            <a:ext uri="{FF2B5EF4-FFF2-40B4-BE49-F238E27FC236}">
              <a16:creationId xmlns:a16="http://schemas.microsoft.com/office/drawing/2014/main" id="{04F70E6C-35C8-4A55-9741-D9D118B3B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439615</xdr:colOff>
      <xdr:row>42</xdr:row>
      <xdr:rowOff>43962</xdr:rowOff>
    </xdr:from>
    <xdr:to>
      <xdr:col>26</xdr:col>
      <xdr:colOff>0</xdr:colOff>
      <xdr:row>61</xdr:row>
      <xdr:rowOff>139274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4FE0A057-52D2-4A9B-A5E3-1F4EFEBAFE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692472" y="7663962"/>
              <a:ext cx="6345814" cy="35424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15246</xdr:colOff>
      <xdr:row>7</xdr:row>
      <xdr:rowOff>156210</xdr:rowOff>
    </xdr:from>
    <xdr:to>
      <xdr:col>4</xdr:col>
      <xdr:colOff>563886</xdr:colOff>
      <xdr:row>22</xdr:row>
      <xdr:rowOff>156210</xdr:rowOff>
    </xdr:to>
    <xdr:graphicFrame macro="">
      <xdr:nvGraphicFramePr>
        <xdr:cNvPr id="2" name="Chart 1">
          <a:extLst>
            <a:ext uri="{FF2B5EF4-FFF2-40B4-BE49-F238E27FC236}">
              <a16:creationId xmlns:a16="http://schemas.microsoft.com/office/drawing/2014/main" id="{162D753E-1039-17BD-F489-4BBE164B3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594366</xdr:colOff>
      <xdr:row>9</xdr:row>
      <xdr:rowOff>87630</xdr:rowOff>
    </xdr:from>
    <xdr:to>
      <xdr:col>12</xdr:col>
      <xdr:colOff>281946</xdr:colOff>
      <xdr:row>24</xdr:row>
      <xdr:rowOff>87630</xdr:rowOff>
    </xdr:to>
    <xdr:graphicFrame macro="">
      <xdr:nvGraphicFramePr>
        <xdr:cNvPr id="3" name="Chart 2">
          <a:extLst>
            <a:ext uri="{FF2B5EF4-FFF2-40B4-BE49-F238E27FC236}">
              <a16:creationId xmlns:a16="http://schemas.microsoft.com/office/drawing/2014/main" id="{3D138DD4-6864-FB07-BCA7-AC68573EE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15246</xdr:colOff>
      <xdr:row>9</xdr:row>
      <xdr:rowOff>80010</xdr:rowOff>
    </xdr:from>
    <xdr:to>
      <xdr:col>5</xdr:col>
      <xdr:colOff>213366</xdr:colOff>
      <xdr:row>24</xdr:row>
      <xdr:rowOff>80010</xdr:rowOff>
    </xdr:to>
    <xdr:graphicFrame macro="">
      <xdr:nvGraphicFramePr>
        <xdr:cNvPr id="2" name="Chart 1">
          <a:extLst>
            <a:ext uri="{FF2B5EF4-FFF2-40B4-BE49-F238E27FC236}">
              <a16:creationId xmlns:a16="http://schemas.microsoft.com/office/drawing/2014/main" id="{B54E8753-3CE4-EC87-0174-4E177B3D9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157661</xdr:colOff>
      <xdr:row>10</xdr:row>
      <xdr:rowOff>108607</xdr:rowOff>
    </xdr:from>
    <xdr:to>
      <xdr:col>11</xdr:col>
      <xdr:colOff>420420</xdr:colOff>
      <xdr:row>25</xdr:row>
      <xdr:rowOff>92841</xdr:rowOff>
    </xdr:to>
    <xdr:graphicFrame macro="">
      <xdr:nvGraphicFramePr>
        <xdr:cNvPr id="3" name="Chart 2">
          <a:extLst>
            <a:ext uri="{FF2B5EF4-FFF2-40B4-BE49-F238E27FC236}">
              <a16:creationId xmlns:a16="http://schemas.microsoft.com/office/drawing/2014/main" id="{863433D6-221E-2004-31F0-5E8711C4D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160026</xdr:colOff>
      <xdr:row>11</xdr:row>
      <xdr:rowOff>110490</xdr:rowOff>
    </xdr:from>
    <xdr:to>
      <xdr:col>6</xdr:col>
      <xdr:colOff>510546</xdr:colOff>
      <xdr:row>26</xdr:row>
      <xdr:rowOff>110490</xdr:rowOff>
    </xdr:to>
    <xdr:graphicFrame macro="">
      <xdr:nvGraphicFramePr>
        <xdr:cNvPr id="2" name="Chart 1">
          <a:extLst>
            <a:ext uri="{FF2B5EF4-FFF2-40B4-BE49-F238E27FC236}">
              <a16:creationId xmlns:a16="http://schemas.microsoft.com/office/drawing/2014/main" id="{78BEE909-0AE0-97C0-87C9-31256E764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464820</xdr:colOff>
      <xdr:row>1</xdr:row>
      <xdr:rowOff>41910</xdr:rowOff>
    </xdr:from>
    <xdr:to>
      <xdr:col>9</xdr:col>
      <xdr:colOff>289560</xdr:colOff>
      <xdr:row>16</xdr:row>
      <xdr:rowOff>7620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028EAFE-E2B3-E9F3-A494-CCFBE3E8EE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74420" y="224790"/>
              <a:ext cx="4945380" cy="2708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586740</xdr:colOff>
      <xdr:row>7</xdr:row>
      <xdr:rowOff>114300</xdr:rowOff>
    </xdr:from>
    <xdr:to>
      <xdr:col>5</xdr:col>
      <xdr:colOff>53340</xdr:colOff>
      <xdr:row>19</xdr:row>
      <xdr:rowOff>140970</xdr:rowOff>
    </xdr:to>
    <xdr:graphicFrame macro="">
      <xdr:nvGraphicFramePr>
        <xdr:cNvPr id="2" name="Chart 1">
          <a:extLst>
            <a:ext uri="{FF2B5EF4-FFF2-40B4-BE49-F238E27FC236}">
              <a16:creationId xmlns:a16="http://schemas.microsoft.com/office/drawing/2014/main" id="{269EA2BF-E4C4-C6CD-4666-A24103268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335280</xdr:colOff>
      <xdr:row>5</xdr:row>
      <xdr:rowOff>125730</xdr:rowOff>
    </xdr:from>
    <xdr:to>
      <xdr:col>10</xdr:col>
      <xdr:colOff>30480</xdr:colOff>
      <xdr:row>20</xdr:row>
      <xdr:rowOff>125730</xdr:rowOff>
    </xdr:to>
    <xdr:graphicFrame macro="">
      <xdr:nvGraphicFramePr>
        <xdr:cNvPr id="2" name="Chart 1">
          <a:extLst>
            <a:ext uri="{FF2B5EF4-FFF2-40B4-BE49-F238E27FC236}">
              <a16:creationId xmlns:a16="http://schemas.microsoft.com/office/drawing/2014/main" id="{E2001ADC-A377-3E0D-2136-F655C4867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297180</xdr:colOff>
      <xdr:row>1</xdr:row>
      <xdr:rowOff>121920</xdr:rowOff>
    </xdr:from>
    <xdr:to>
      <xdr:col>5</xdr:col>
      <xdr:colOff>297180</xdr:colOff>
      <xdr:row>15</xdr:row>
      <xdr:rowOff>142875</xdr:rowOff>
    </xdr:to>
    <mc:AlternateContent xmlns:mc="http://schemas.openxmlformats.org/markup-compatibility/2006" xmlns:a14="http://schemas.microsoft.com/office/drawing/2010/main">
      <mc:Choice Requires="a14">
        <xdr:graphicFrame macro="">
          <xdr:nvGraphicFramePr>
            <xdr:cNvPr id="2" name="PCOD_Status">
              <a:extLst>
                <a:ext uri="{FF2B5EF4-FFF2-40B4-BE49-F238E27FC236}">
                  <a16:creationId xmlns:a16="http://schemas.microsoft.com/office/drawing/2014/main" id="{B78149F0-31D4-1D95-8AFE-3CD0CDDDC6C4}"/>
                </a:ext>
              </a:extLst>
            </xdr:cNvPr>
            <xdr:cNvGraphicFramePr/>
          </xdr:nvGraphicFramePr>
          <xdr:xfrm>
            <a:off x="0" y="0"/>
            <a:ext cx="0" cy="0"/>
          </xdr:xfrm>
          <a:graphic>
            <a:graphicData uri="http://schemas.microsoft.com/office/drawing/2010/slicer">
              <sle:slicer xmlns:sle="http://schemas.microsoft.com/office/drawing/2010/slicer" name="PCOD_Status"/>
            </a:graphicData>
          </a:graphic>
        </xdr:graphicFrame>
      </mc:Choice>
      <mc:Fallback xmlns="">
        <xdr:sp macro="" textlink="">
          <xdr:nvSpPr>
            <xdr:cNvPr id="0" name=""/>
            <xdr:cNvSpPr>
              <a:spLocks noTextEdit="1"/>
            </xdr:cNvSpPr>
          </xdr:nvSpPr>
          <xdr:spPr>
            <a:xfrm>
              <a:off x="214884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179070</xdr:rowOff>
    </xdr:from>
    <xdr:to>
      <xdr:col>6</xdr:col>
      <xdr:colOff>358140</xdr:colOff>
      <xdr:row>22</xdr:row>
      <xdr:rowOff>179070</xdr:rowOff>
    </xdr:to>
    <xdr:graphicFrame macro="">
      <xdr:nvGraphicFramePr>
        <xdr:cNvPr id="2" name="Chart 1">
          <a:extLst>
            <a:ext uri="{FF2B5EF4-FFF2-40B4-BE49-F238E27FC236}">
              <a16:creationId xmlns:a16="http://schemas.microsoft.com/office/drawing/2014/main" id="{EBB089F1-1218-7DB6-C7F4-229DBFFE1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arl Sethi" refreshedDate="46020.619397106479" createdVersion="8" refreshedVersion="8" minRefreshableVersion="3" recordCount="200" xr:uid="{B855FFC8-1E7C-4B7C-BE65-E6ACBD3BDA59}">
  <cacheSource type="worksheet">
    <worksheetSource ref="A1:N201" sheet="PCOD_Health_Lifestyle"/>
  </cacheSource>
  <cacheFields count="14">
    <cacheField name="User_ID" numFmtId="0">
      <sharedItems containsSemiMixedTypes="0" containsString="0" containsNumber="1" containsInteger="1" minValue="1" maxValue="200"/>
    </cacheField>
    <cacheField name="Age" numFmtId="0">
      <sharedItems containsSemiMixedTypes="0" containsString="0" containsNumber="1" containsInteger="1" minValue="18" maxValue="40"/>
    </cacheField>
    <cacheField name="BMI" numFmtId="0">
      <sharedItems containsSemiMixedTypes="0" containsString="0" containsNumber="1" minValue="18.7" maxValue="34.9"/>
    </cacheField>
    <cacheField name="PCOD_Status" numFmtId="0">
      <sharedItems count="2">
        <s v="No"/>
        <s v="Yes"/>
      </sharedItems>
    </cacheField>
    <cacheField name="Cycle_Regularity" numFmtId="0">
      <sharedItems count="2">
        <s v="Regular"/>
        <s v="Irregular"/>
      </sharedItems>
    </cacheField>
    <cacheField name="Exercise_Min_per_Day" numFmtId="0">
      <sharedItems containsSemiMixedTypes="0" containsString="0" containsNumber="1" containsInteger="1" minValue="0" maxValue="60" count="5">
        <n v="15"/>
        <n v="60"/>
        <n v="30"/>
        <n v="45"/>
        <n v="0"/>
      </sharedItems>
    </cacheField>
    <cacheField name="Diet_Type" numFmtId="0">
      <sharedItems count="3">
        <s v="Veg"/>
        <s v="Non-Veg"/>
        <s v="Mixed"/>
      </sharedItems>
    </cacheField>
    <cacheField name="Sugar_Intake_Level" numFmtId="0">
      <sharedItems count="3">
        <s v="High"/>
        <s v="Low"/>
        <s v="Medium"/>
      </sharedItems>
    </cacheField>
    <cacheField name="Water_Intake_Liters" numFmtId="0">
      <sharedItems containsSemiMixedTypes="0" containsString="0" containsNumber="1" minValue="1.5" maxValue="4"/>
    </cacheField>
    <cacheField name="Sleep_Hours" numFmtId="0">
      <sharedItems containsSemiMixedTypes="0" containsString="0" containsNumber="1" containsInteger="1" minValue="5" maxValue="9"/>
    </cacheField>
    <cacheField name="Stress_Level" numFmtId="0">
      <sharedItems count="3">
        <s v="Low"/>
        <s v="Medium"/>
        <s v="High"/>
      </sharedItems>
    </cacheField>
    <cacheField name="Bloating_Frequency" numFmtId="0">
      <sharedItems count="3">
        <s v="High"/>
        <s v="Low"/>
        <s v="Medium"/>
      </sharedItems>
    </cacheField>
    <cacheField name="Abdominal_Fat_Level" numFmtId="0">
      <sharedItems count="3">
        <s v="Medium"/>
        <s v="Low"/>
        <s v="High"/>
      </sharedItems>
    </cacheField>
    <cacheField name="Hormonal_Medication" numFmtId="0">
      <sharedItems/>
    </cacheField>
  </cacheFields>
  <extLst>
    <ext xmlns:x14="http://schemas.microsoft.com/office/spreadsheetml/2009/9/main" uri="{725AE2AE-9491-48be-B2B4-4EB974FC3084}">
      <x14:pivotCacheDefinition pivotCacheId="2145727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38"/>
    <n v="20.3"/>
    <x v="0"/>
    <x v="0"/>
    <x v="0"/>
    <x v="0"/>
    <x v="0"/>
    <n v="1.8"/>
    <n v="9"/>
    <x v="0"/>
    <x v="0"/>
    <x v="0"/>
    <s v="Yes"/>
  </r>
  <r>
    <n v="2"/>
    <n v="18"/>
    <n v="20"/>
    <x v="1"/>
    <x v="0"/>
    <x v="1"/>
    <x v="0"/>
    <x v="0"/>
    <n v="3.1"/>
    <n v="9"/>
    <x v="1"/>
    <x v="1"/>
    <x v="0"/>
    <s v="No"/>
  </r>
  <r>
    <n v="3"/>
    <n v="18"/>
    <n v="31"/>
    <x v="1"/>
    <x v="1"/>
    <x v="2"/>
    <x v="1"/>
    <x v="1"/>
    <n v="2"/>
    <n v="7"/>
    <x v="0"/>
    <x v="1"/>
    <x v="0"/>
    <s v="Yes"/>
  </r>
  <r>
    <n v="4"/>
    <n v="29"/>
    <n v="32.5"/>
    <x v="0"/>
    <x v="0"/>
    <x v="3"/>
    <x v="2"/>
    <x v="1"/>
    <n v="3.9"/>
    <n v="8"/>
    <x v="0"/>
    <x v="0"/>
    <x v="0"/>
    <s v="No"/>
  </r>
  <r>
    <n v="5"/>
    <n v="36"/>
    <n v="21.7"/>
    <x v="1"/>
    <x v="0"/>
    <x v="0"/>
    <x v="1"/>
    <x v="1"/>
    <n v="3.6"/>
    <n v="5"/>
    <x v="1"/>
    <x v="2"/>
    <x v="0"/>
    <s v="No"/>
  </r>
  <r>
    <n v="6"/>
    <n v="23"/>
    <n v="24.6"/>
    <x v="1"/>
    <x v="1"/>
    <x v="4"/>
    <x v="2"/>
    <x v="0"/>
    <n v="1.9"/>
    <n v="6"/>
    <x v="0"/>
    <x v="2"/>
    <x v="0"/>
    <s v="No"/>
  </r>
  <r>
    <n v="7"/>
    <n v="38"/>
    <n v="29.9"/>
    <x v="1"/>
    <x v="1"/>
    <x v="4"/>
    <x v="0"/>
    <x v="1"/>
    <n v="3.5"/>
    <n v="8"/>
    <x v="1"/>
    <x v="1"/>
    <x v="1"/>
    <s v="No"/>
  </r>
  <r>
    <n v="8"/>
    <n v="24"/>
    <n v="29.3"/>
    <x v="0"/>
    <x v="1"/>
    <x v="0"/>
    <x v="1"/>
    <x v="1"/>
    <n v="2.1"/>
    <n v="9"/>
    <x v="2"/>
    <x v="2"/>
    <x v="2"/>
    <s v="No"/>
  </r>
  <r>
    <n v="9"/>
    <n v="36"/>
    <n v="25.1"/>
    <x v="1"/>
    <x v="0"/>
    <x v="1"/>
    <x v="1"/>
    <x v="1"/>
    <n v="3.4"/>
    <n v="5"/>
    <x v="0"/>
    <x v="0"/>
    <x v="1"/>
    <s v="No"/>
  </r>
  <r>
    <n v="10"/>
    <n v="37"/>
    <n v="19.5"/>
    <x v="0"/>
    <x v="1"/>
    <x v="1"/>
    <x v="1"/>
    <x v="0"/>
    <n v="3.7"/>
    <n v="5"/>
    <x v="2"/>
    <x v="0"/>
    <x v="1"/>
    <s v="No"/>
  </r>
  <r>
    <n v="11"/>
    <n v="38"/>
    <n v="24.1"/>
    <x v="0"/>
    <x v="1"/>
    <x v="0"/>
    <x v="1"/>
    <x v="1"/>
    <n v="3.9"/>
    <n v="7"/>
    <x v="2"/>
    <x v="1"/>
    <x v="2"/>
    <s v="Yes"/>
  </r>
  <r>
    <n v="12"/>
    <n v="38"/>
    <n v="23.4"/>
    <x v="1"/>
    <x v="0"/>
    <x v="2"/>
    <x v="0"/>
    <x v="0"/>
    <n v="3.9"/>
    <n v="9"/>
    <x v="0"/>
    <x v="0"/>
    <x v="0"/>
    <s v="No"/>
  </r>
  <r>
    <n v="13"/>
    <n v="18"/>
    <n v="20.3"/>
    <x v="0"/>
    <x v="1"/>
    <x v="0"/>
    <x v="0"/>
    <x v="1"/>
    <n v="3.7"/>
    <n v="5"/>
    <x v="0"/>
    <x v="0"/>
    <x v="0"/>
    <s v="Yes"/>
  </r>
  <r>
    <n v="14"/>
    <n v="35"/>
    <n v="31.1"/>
    <x v="1"/>
    <x v="1"/>
    <x v="1"/>
    <x v="0"/>
    <x v="2"/>
    <n v="2.8"/>
    <n v="9"/>
    <x v="1"/>
    <x v="1"/>
    <x v="2"/>
    <s v="Yes"/>
  </r>
  <r>
    <n v="15"/>
    <n v="40"/>
    <n v="23.6"/>
    <x v="0"/>
    <x v="1"/>
    <x v="1"/>
    <x v="1"/>
    <x v="1"/>
    <n v="2.1"/>
    <n v="5"/>
    <x v="1"/>
    <x v="1"/>
    <x v="2"/>
    <s v="Yes"/>
  </r>
  <r>
    <n v="16"/>
    <n v="36"/>
    <n v="22.1"/>
    <x v="1"/>
    <x v="0"/>
    <x v="0"/>
    <x v="0"/>
    <x v="1"/>
    <n v="3.6"/>
    <n v="5"/>
    <x v="2"/>
    <x v="1"/>
    <x v="0"/>
    <s v="No"/>
  </r>
  <r>
    <n v="17"/>
    <n v="24"/>
    <n v="27.4"/>
    <x v="0"/>
    <x v="0"/>
    <x v="3"/>
    <x v="1"/>
    <x v="1"/>
    <n v="1.7"/>
    <n v="8"/>
    <x v="1"/>
    <x v="2"/>
    <x v="0"/>
    <s v="No"/>
  </r>
  <r>
    <n v="18"/>
    <n v="19"/>
    <n v="29.6"/>
    <x v="1"/>
    <x v="0"/>
    <x v="3"/>
    <x v="2"/>
    <x v="2"/>
    <n v="3.5"/>
    <n v="5"/>
    <x v="0"/>
    <x v="1"/>
    <x v="1"/>
    <s v="No"/>
  </r>
  <r>
    <n v="19"/>
    <n v="22"/>
    <n v="25.5"/>
    <x v="0"/>
    <x v="1"/>
    <x v="0"/>
    <x v="0"/>
    <x v="2"/>
    <n v="3.5"/>
    <n v="9"/>
    <x v="0"/>
    <x v="1"/>
    <x v="2"/>
    <s v="Yes"/>
  </r>
  <r>
    <n v="20"/>
    <n v="20"/>
    <n v="33.799999999999997"/>
    <x v="1"/>
    <x v="0"/>
    <x v="3"/>
    <x v="1"/>
    <x v="2"/>
    <n v="2"/>
    <n v="8"/>
    <x v="0"/>
    <x v="1"/>
    <x v="0"/>
    <s v="Yes"/>
  </r>
  <r>
    <n v="21"/>
    <n v="30"/>
    <n v="22.9"/>
    <x v="0"/>
    <x v="1"/>
    <x v="3"/>
    <x v="2"/>
    <x v="0"/>
    <n v="4"/>
    <n v="9"/>
    <x v="2"/>
    <x v="0"/>
    <x v="0"/>
    <s v="Yes"/>
  </r>
  <r>
    <n v="22"/>
    <n v="24"/>
    <n v="23.4"/>
    <x v="1"/>
    <x v="0"/>
    <x v="2"/>
    <x v="0"/>
    <x v="1"/>
    <n v="3"/>
    <n v="9"/>
    <x v="2"/>
    <x v="1"/>
    <x v="1"/>
    <s v="Yes"/>
  </r>
  <r>
    <n v="23"/>
    <n v="23"/>
    <n v="19.600000000000001"/>
    <x v="1"/>
    <x v="0"/>
    <x v="3"/>
    <x v="0"/>
    <x v="0"/>
    <n v="2.1"/>
    <n v="9"/>
    <x v="0"/>
    <x v="0"/>
    <x v="1"/>
    <s v="No"/>
  </r>
  <r>
    <n v="24"/>
    <n v="39"/>
    <n v="28.1"/>
    <x v="0"/>
    <x v="1"/>
    <x v="0"/>
    <x v="2"/>
    <x v="0"/>
    <n v="2.2999999999999998"/>
    <n v="7"/>
    <x v="1"/>
    <x v="1"/>
    <x v="2"/>
    <s v="No"/>
  </r>
  <r>
    <n v="25"/>
    <n v="32"/>
    <n v="23.7"/>
    <x v="1"/>
    <x v="0"/>
    <x v="3"/>
    <x v="2"/>
    <x v="0"/>
    <n v="4"/>
    <n v="5"/>
    <x v="2"/>
    <x v="1"/>
    <x v="2"/>
    <s v="No"/>
  </r>
  <r>
    <n v="26"/>
    <n v="22"/>
    <n v="33.9"/>
    <x v="1"/>
    <x v="0"/>
    <x v="2"/>
    <x v="1"/>
    <x v="1"/>
    <n v="2.6"/>
    <n v="9"/>
    <x v="2"/>
    <x v="2"/>
    <x v="2"/>
    <s v="Yes"/>
  </r>
  <r>
    <n v="27"/>
    <n v="39"/>
    <n v="32"/>
    <x v="0"/>
    <x v="0"/>
    <x v="0"/>
    <x v="1"/>
    <x v="1"/>
    <n v="3.7"/>
    <n v="9"/>
    <x v="0"/>
    <x v="2"/>
    <x v="0"/>
    <s v="Yes"/>
  </r>
  <r>
    <n v="28"/>
    <n v="40"/>
    <n v="24.2"/>
    <x v="0"/>
    <x v="1"/>
    <x v="2"/>
    <x v="0"/>
    <x v="1"/>
    <n v="3.1"/>
    <n v="7"/>
    <x v="0"/>
    <x v="1"/>
    <x v="0"/>
    <s v="Yes"/>
  </r>
  <r>
    <n v="29"/>
    <n v="38"/>
    <n v="34.700000000000003"/>
    <x v="1"/>
    <x v="1"/>
    <x v="1"/>
    <x v="2"/>
    <x v="2"/>
    <n v="2.9"/>
    <n v="5"/>
    <x v="0"/>
    <x v="0"/>
    <x v="1"/>
    <s v="Yes"/>
  </r>
  <r>
    <n v="30"/>
    <n v="29"/>
    <n v="28.1"/>
    <x v="1"/>
    <x v="1"/>
    <x v="0"/>
    <x v="0"/>
    <x v="2"/>
    <n v="2.4"/>
    <n v="5"/>
    <x v="1"/>
    <x v="1"/>
    <x v="2"/>
    <s v="Yes"/>
  </r>
  <r>
    <n v="31"/>
    <n v="39"/>
    <n v="20.2"/>
    <x v="0"/>
    <x v="0"/>
    <x v="0"/>
    <x v="0"/>
    <x v="1"/>
    <n v="3.7"/>
    <n v="5"/>
    <x v="0"/>
    <x v="0"/>
    <x v="0"/>
    <s v="No"/>
  </r>
  <r>
    <n v="32"/>
    <n v="39"/>
    <n v="32.799999999999997"/>
    <x v="1"/>
    <x v="1"/>
    <x v="0"/>
    <x v="2"/>
    <x v="1"/>
    <n v="2.5"/>
    <n v="5"/>
    <x v="1"/>
    <x v="1"/>
    <x v="1"/>
    <s v="No"/>
  </r>
  <r>
    <n v="33"/>
    <n v="29"/>
    <n v="23.5"/>
    <x v="1"/>
    <x v="0"/>
    <x v="4"/>
    <x v="2"/>
    <x v="1"/>
    <n v="2.5"/>
    <n v="7"/>
    <x v="0"/>
    <x v="2"/>
    <x v="0"/>
    <s v="No"/>
  </r>
  <r>
    <n v="34"/>
    <n v="39"/>
    <n v="34.700000000000003"/>
    <x v="0"/>
    <x v="0"/>
    <x v="4"/>
    <x v="1"/>
    <x v="1"/>
    <n v="3"/>
    <n v="7"/>
    <x v="0"/>
    <x v="1"/>
    <x v="2"/>
    <s v="No"/>
  </r>
  <r>
    <n v="35"/>
    <n v="29"/>
    <n v="30.5"/>
    <x v="0"/>
    <x v="1"/>
    <x v="1"/>
    <x v="2"/>
    <x v="1"/>
    <n v="2.5"/>
    <n v="9"/>
    <x v="0"/>
    <x v="2"/>
    <x v="1"/>
    <s v="No"/>
  </r>
  <r>
    <n v="36"/>
    <n v="18"/>
    <n v="27.1"/>
    <x v="1"/>
    <x v="1"/>
    <x v="3"/>
    <x v="0"/>
    <x v="0"/>
    <n v="3.8"/>
    <n v="9"/>
    <x v="1"/>
    <x v="0"/>
    <x v="1"/>
    <s v="No"/>
  </r>
  <r>
    <n v="37"/>
    <n v="34"/>
    <n v="23.6"/>
    <x v="0"/>
    <x v="1"/>
    <x v="3"/>
    <x v="2"/>
    <x v="2"/>
    <n v="2.9"/>
    <n v="6"/>
    <x v="1"/>
    <x v="0"/>
    <x v="0"/>
    <s v="Yes"/>
  </r>
  <r>
    <n v="38"/>
    <n v="37"/>
    <n v="27.9"/>
    <x v="0"/>
    <x v="0"/>
    <x v="2"/>
    <x v="1"/>
    <x v="1"/>
    <n v="2.6"/>
    <n v="9"/>
    <x v="2"/>
    <x v="0"/>
    <x v="0"/>
    <s v="No"/>
  </r>
  <r>
    <n v="39"/>
    <n v="32"/>
    <n v="25.8"/>
    <x v="1"/>
    <x v="1"/>
    <x v="0"/>
    <x v="2"/>
    <x v="1"/>
    <n v="2.2000000000000002"/>
    <n v="9"/>
    <x v="1"/>
    <x v="1"/>
    <x v="1"/>
    <s v="No"/>
  </r>
  <r>
    <n v="40"/>
    <n v="25"/>
    <n v="31.8"/>
    <x v="1"/>
    <x v="0"/>
    <x v="4"/>
    <x v="0"/>
    <x v="2"/>
    <n v="3"/>
    <n v="5"/>
    <x v="1"/>
    <x v="2"/>
    <x v="2"/>
    <s v="Yes"/>
  </r>
  <r>
    <n v="41"/>
    <n v="40"/>
    <n v="30"/>
    <x v="0"/>
    <x v="1"/>
    <x v="0"/>
    <x v="0"/>
    <x v="0"/>
    <n v="3.2"/>
    <n v="5"/>
    <x v="1"/>
    <x v="1"/>
    <x v="1"/>
    <s v="No"/>
  </r>
  <r>
    <n v="42"/>
    <n v="19"/>
    <n v="27.7"/>
    <x v="1"/>
    <x v="1"/>
    <x v="0"/>
    <x v="1"/>
    <x v="0"/>
    <n v="2.8"/>
    <n v="9"/>
    <x v="2"/>
    <x v="2"/>
    <x v="0"/>
    <s v="No"/>
  </r>
  <r>
    <n v="43"/>
    <n v="35"/>
    <n v="25.9"/>
    <x v="1"/>
    <x v="1"/>
    <x v="3"/>
    <x v="1"/>
    <x v="1"/>
    <n v="3.6"/>
    <n v="7"/>
    <x v="2"/>
    <x v="2"/>
    <x v="2"/>
    <s v="Yes"/>
  </r>
  <r>
    <n v="44"/>
    <n v="26"/>
    <n v="25.8"/>
    <x v="0"/>
    <x v="0"/>
    <x v="2"/>
    <x v="1"/>
    <x v="2"/>
    <n v="3.7"/>
    <n v="5"/>
    <x v="0"/>
    <x v="1"/>
    <x v="1"/>
    <s v="No"/>
  </r>
  <r>
    <n v="45"/>
    <n v="40"/>
    <n v="21"/>
    <x v="1"/>
    <x v="0"/>
    <x v="3"/>
    <x v="1"/>
    <x v="2"/>
    <n v="2.9"/>
    <n v="8"/>
    <x v="0"/>
    <x v="1"/>
    <x v="0"/>
    <s v="No"/>
  </r>
  <r>
    <n v="46"/>
    <n v="36"/>
    <n v="34.1"/>
    <x v="1"/>
    <x v="1"/>
    <x v="3"/>
    <x v="0"/>
    <x v="2"/>
    <n v="2.2000000000000002"/>
    <n v="8"/>
    <x v="1"/>
    <x v="0"/>
    <x v="2"/>
    <s v="Yes"/>
  </r>
  <r>
    <n v="47"/>
    <n v="33"/>
    <n v="22.1"/>
    <x v="0"/>
    <x v="1"/>
    <x v="4"/>
    <x v="1"/>
    <x v="2"/>
    <n v="3.2"/>
    <n v="8"/>
    <x v="2"/>
    <x v="1"/>
    <x v="0"/>
    <s v="Yes"/>
  </r>
  <r>
    <n v="48"/>
    <n v="37"/>
    <n v="27.3"/>
    <x v="0"/>
    <x v="0"/>
    <x v="4"/>
    <x v="2"/>
    <x v="2"/>
    <n v="1.8"/>
    <n v="8"/>
    <x v="0"/>
    <x v="1"/>
    <x v="0"/>
    <s v="No"/>
  </r>
  <r>
    <n v="49"/>
    <n v="28"/>
    <n v="22"/>
    <x v="0"/>
    <x v="1"/>
    <x v="3"/>
    <x v="1"/>
    <x v="2"/>
    <n v="2.1"/>
    <n v="5"/>
    <x v="1"/>
    <x v="1"/>
    <x v="2"/>
    <s v="Yes"/>
  </r>
  <r>
    <n v="50"/>
    <n v="29"/>
    <n v="22.2"/>
    <x v="1"/>
    <x v="0"/>
    <x v="4"/>
    <x v="0"/>
    <x v="1"/>
    <n v="3.6"/>
    <n v="9"/>
    <x v="0"/>
    <x v="1"/>
    <x v="1"/>
    <s v="No"/>
  </r>
  <r>
    <n v="51"/>
    <n v="39"/>
    <n v="20.399999999999999"/>
    <x v="1"/>
    <x v="1"/>
    <x v="2"/>
    <x v="1"/>
    <x v="1"/>
    <n v="3"/>
    <n v="5"/>
    <x v="0"/>
    <x v="2"/>
    <x v="1"/>
    <s v="Yes"/>
  </r>
  <r>
    <n v="52"/>
    <n v="27"/>
    <n v="28"/>
    <x v="0"/>
    <x v="1"/>
    <x v="0"/>
    <x v="0"/>
    <x v="0"/>
    <n v="3.2"/>
    <n v="6"/>
    <x v="0"/>
    <x v="0"/>
    <x v="0"/>
    <s v="Yes"/>
  </r>
  <r>
    <n v="53"/>
    <n v="36"/>
    <n v="31.4"/>
    <x v="0"/>
    <x v="1"/>
    <x v="2"/>
    <x v="0"/>
    <x v="0"/>
    <n v="3.1"/>
    <n v="5"/>
    <x v="1"/>
    <x v="2"/>
    <x v="1"/>
    <s v="No"/>
  </r>
  <r>
    <n v="54"/>
    <n v="29"/>
    <n v="29"/>
    <x v="0"/>
    <x v="0"/>
    <x v="3"/>
    <x v="0"/>
    <x v="0"/>
    <n v="2.8"/>
    <n v="7"/>
    <x v="2"/>
    <x v="0"/>
    <x v="0"/>
    <s v="No"/>
  </r>
  <r>
    <n v="55"/>
    <n v="31"/>
    <n v="32.1"/>
    <x v="0"/>
    <x v="1"/>
    <x v="0"/>
    <x v="0"/>
    <x v="2"/>
    <n v="3.7"/>
    <n v="6"/>
    <x v="1"/>
    <x v="0"/>
    <x v="2"/>
    <s v="No"/>
  </r>
  <r>
    <n v="56"/>
    <n v="28"/>
    <n v="19"/>
    <x v="0"/>
    <x v="0"/>
    <x v="3"/>
    <x v="0"/>
    <x v="2"/>
    <n v="3.5"/>
    <n v="7"/>
    <x v="1"/>
    <x v="0"/>
    <x v="2"/>
    <s v="No"/>
  </r>
  <r>
    <n v="57"/>
    <n v="35"/>
    <n v="18.7"/>
    <x v="1"/>
    <x v="0"/>
    <x v="0"/>
    <x v="2"/>
    <x v="2"/>
    <n v="2.7"/>
    <n v="6"/>
    <x v="2"/>
    <x v="2"/>
    <x v="2"/>
    <s v="No"/>
  </r>
  <r>
    <n v="58"/>
    <n v="32"/>
    <n v="31.6"/>
    <x v="1"/>
    <x v="1"/>
    <x v="0"/>
    <x v="1"/>
    <x v="0"/>
    <n v="2.1"/>
    <n v="9"/>
    <x v="1"/>
    <x v="2"/>
    <x v="2"/>
    <s v="No"/>
  </r>
  <r>
    <n v="59"/>
    <n v="31"/>
    <n v="34.9"/>
    <x v="0"/>
    <x v="1"/>
    <x v="3"/>
    <x v="1"/>
    <x v="2"/>
    <n v="2.1"/>
    <n v="5"/>
    <x v="2"/>
    <x v="1"/>
    <x v="0"/>
    <s v="Yes"/>
  </r>
  <r>
    <n v="60"/>
    <n v="35"/>
    <n v="34.200000000000003"/>
    <x v="1"/>
    <x v="0"/>
    <x v="0"/>
    <x v="2"/>
    <x v="2"/>
    <n v="2.2000000000000002"/>
    <n v="9"/>
    <x v="2"/>
    <x v="0"/>
    <x v="0"/>
    <s v="Yes"/>
  </r>
  <r>
    <n v="61"/>
    <n v="24"/>
    <n v="23.4"/>
    <x v="0"/>
    <x v="0"/>
    <x v="2"/>
    <x v="0"/>
    <x v="0"/>
    <n v="2.8"/>
    <n v="7"/>
    <x v="0"/>
    <x v="1"/>
    <x v="2"/>
    <s v="No"/>
  </r>
  <r>
    <n v="62"/>
    <n v="40"/>
    <n v="34.1"/>
    <x v="0"/>
    <x v="0"/>
    <x v="4"/>
    <x v="2"/>
    <x v="2"/>
    <n v="2.7"/>
    <n v="8"/>
    <x v="1"/>
    <x v="1"/>
    <x v="1"/>
    <s v="No"/>
  </r>
  <r>
    <n v="63"/>
    <n v="33"/>
    <n v="20.399999999999999"/>
    <x v="1"/>
    <x v="1"/>
    <x v="3"/>
    <x v="0"/>
    <x v="0"/>
    <n v="3.1"/>
    <n v="5"/>
    <x v="0"/>
    <x v="1"/>
    <x v="2"/>
    <s v="No"/>
  </r>
  <r>
    <n v="64"/>
    <n v="20"/>
    <n v="34.9"/>
    <x v="1"/>
    <x v="1"/>
    <x v="1"/>
    <x v="2"/>
    <x v="0"/>
    <n v="2.1"/>
    <n v="9"/>
    <x v="1"/>
    <x v="2"/>
    <x v="0"/>
    <s v="No"/>
  </r>
  <r>
    <n v="65"/>
    <n v="36"/>
    <n v="34.799999999999997"/>
    <x v="0"/>
    <x v="0"/>
    <x v="1"/>
    <x v="2"/>
    <x v="1"/>
    <n v="3.9"/>
    <n v="6"/>
    <x v="2"/>
    <x v="1"/>
    <x v="0"/>
    <s v="Yes"/>
  </r>
  <r>
    <n v="66"/>
    <n v="23"/>
    <n v="22.5"/>
    <x v="1"/>
    <x v="0"/>
    <x v="4"/>
    <x v="1"/>
    <x v="2"/>
    <n v="3.2"/>
    <n v="8"/>
    <x v="1"/>
    <x v="1"/>
    <x v="1"/>
    <s v="No"/>
  </r>
  <r>
    <n v="67"/>
    <n v="40"/>
    <n v="23.2"/>
    <x v="0"/>
    <x v="0"/>
    <x v="0"/>
    <x v="1"/>
    <x v="0"/>
    <n v="3"/>
    <n v="6"/>
    <x v="1"/>
    <x v="1"/>
    <x v="2"/>
    <s v="Yes"/>
  </r>
  <r>
    <n v="68"/>
    <n v="38"/>
    <n v="21"/>
    <x v="0"/>
    <x v="0"/>
    <x v="4"/>
    <x v="0"/>
    <x v="1"/>
    <n v="3.5"/>
    <n v="9"/>
    <x v="2"/>
    <x v="0"/>
    <x v="0"/>
    <s v="No"/>
  </r>
  <r>
    <n v="69"/>
    <n v="21"/>
    <n v="26.2"/>
    <x v="0"/>
    <x v="1"/>
    <x v="2"/>
    <x v="2"/>
    <x v="0"/>
    <n v="2.7"/>
    <n v="5"/>
    <x v="2"/>
    <x v="1"/>
    <x v="0"/>
    <s v="No"/>
  </r>
  <r>
    <n v="70"/>
    <n v="37"/>
    <n v="22.6"/>
    <x v="1"/>
    <x v="0"/>
    <x v="1"/>
    <x v="2"/>
    <x v="1"/>
    <n v="4"/>
    <n v="7"/>
    <x v="2"/>
    <x v="1"/>
    <x v="1"/>
    <s v="No"/>
  </r>
  <r>
    <n v="71"/>
    <n v="34"/>
    <n v="29.2"/>
    <x v="0"/>
    <x v="0"/>
    <x v="1"/>
    <x v="1"/>
    <x v="0"/>
    <n v="3.5"/>
    <n v="5"/>
    <x v="1"/>
    <x v="2"/>
    <x v="0"/>
    <s v="No"/>
  </r>
  <r>
    <n v="72"/>
    <n v="28"/>
    <n v="29.6"/>
    <x v="1"/>
    <x v="1"/>
    <x v="3"/>
    <x v="2"/>
    <x v="2"/>
    <n v="2.2000000000000002"/>
    <n v="8"/>
    <x v="2"/>
    <x v="1"/>
    <x v="0"/>
    <s v="Yes"/>
  </r>
  <r>
    <n v="73"/>
    <n v="28"/>
    <n v="22.7"/>
    <x v="1"/>
    <x v="1"/>
    <x v="1"/>
    <x v="0"/>
    <x v="0"/>
    <n v="3.7"/>
    <n v="8"/>
    <x v="1"/>
    <x v="1"/>
    <x v="1"/>
    <s v="No"/>
  </r>
  <r>
    <n v="74"/>
    <n v="37"/>
    <n v="31"/>
    <x v="0"/>
    <x v="0"/>
    <x v="0"/>
    <x v="1"/>
    <x v="0"/>
    <n v="1.8"/>
    <n v="7"/>
    <x v="1"/>
    <x v="0"/>
    <x v="0"/>
    <s v="Yes"/>
  </r>
  <r>
    <n v="75"/>
    <n v="18"/>
    <n v="34.6"/>
    <x v="1"/>
    <x v="0"/>
    <x v="2"/>
    <x v="2"/>
    <x v="1"/>
    <n v="2.9"/>
    <n v="5"/>
    <x v="0"/>
    <x v="1"/>
    <x v="0"/>
    <s v="Yes"/>
  </r>
  <r>
    <n v="76"/>
    <n v="38"/>
    <n v="32.200000000000003"/>
    <x v="0"/>
    <x v="1"/>
    <x v="1"/>
    <x v="2"/>
    <x v="2"/>
    <n v="2.5"/>
    <n v="8"/>
    <x v="1"/>
    <x v="1"/>
    <x v="0"/>
    <s v="Yes"/>
  </r>
  <r>
    <n v="77"/>
    <n v="30"/>
    <n v="21.6"/>
    <x v="1"/>
    <x v="0"/>
    <x v="2"/>
    <x v="1"/>
    <x v="2"/>
    <n v="3.8"/>
    <n v="9"/>
    <x v="1"/>
    <x v="1"/>
    <x v="0"/>
    <s v="No"/>
  </r>
  <r>
    <n v="78"/>
    <n v="36"/>
    <n v="28.1"/>
    <x v="0"/>
    <x v="0"/>
    <x v="3"/>
    <x v="2"/>
    <x v="2"/>
    <n v="2.4"/>
    <n v="9"/>
    <x v="2"/>
    <x v="2"/>
    <x v="0"/>
    <s v="No"/>
  </r>
  <r>
    <n v="79"/>
    <n v="24"/>
    <n v="34.700000000000003"/>
    <x v="1"/>
    <x v="1"/>
    <x v="0"/>
    <x v="1"/>
    <x v="1"/>
    <n v="2.2999999999999998"/>
    <n v="8"/>
    <x v="2"/>
    <x v="2"/>
    <x v="0"/>
    <s v="Yes"/>
  </r>
  <r>
    <n v="80"/>
    <n v="33"/>
    <n v="34.4"/>
    <x v="1"/>
    <x v="1"/>
    <x v="4"/>
    <x v="1"/>
    <x v="1"/>
    <n v="2.8"/>
    <n v="8"/>
    <x v="0"/>
    <x v="0"/>
    <x v="1"/>
    <s v="No"/>
  </r>
  <r>
    <n v="81"/>
    <n v="38"/>
    <n v="34.5"/>
    <x v="1"/>
    <x v="1"/>
    <x v="2"/>
    <x v="1"/>
    <x v="0"/>
    <n v="3.2"/>
    <n v="5"/>
    <x v="1"/>
    <x v="0"/>
    <x v="2"/>
    <s v="No"/>
  </r>
  <r>
    <n v="82"/>
    <n v="28"/>
    <n v="28.8"/>
    <x v="0"/>
    <x v="0"/>
    <x v="1"/>
    <x v="0"/>
    <x v="1"/>
    <n v="3.1"/>
    <n v="7"/>
    <x v="0"/>
    <x v="0"/>
    <x v="1"/>
    <s v="No"/>
  </r>
  <r>
    <n v="83"/>
    <n v="21"/>
    <n v="31"/>
    <x v="1"/>
    <x v="1"/>
    <x v="0"/>
    <x v="2"/>
    <x v="2"/>
    <n v="3.8"/>
    <n v="5"/>
    <x v="1"/>
    <x v="1"/>
    <x v="0"/>
    <s v="No"/>
  </r>
  <r>
    <n v="84"/>
    <n v="29"/>
    <n v="25.6"/>
    <x v="1"/>
    <x v="1"/>
    <x v="1"/>
    <x v="2"/>
    <x v="1"/>
    <n v="1.9"/>
    <n v="5"/>
    <x v="2"/>
    <x v="2"/>
    <x v="2"/>
    <s v="Yes"/>
  </r>
  <r>
    <n v="85"/>
    <n v="33"/>
    <n v="33.6"/>
    <x v="1"/>
    <x v="0"/>
    <x v="3"/>
    <x v="2"/>
    <x v="2"/>
    <n v="2.6"/>
    <n v="5"/>
    <x v="1"/>
    <x v="2"/>
    <x v="2"/>
    <s v="Yes"/>
  </r>
  <r>
    <n v="86"/>
    <n v="20"/>
    <n v="25.8"/>
    <x v="0"/>
    <x v="1"/>
    <x v="3"/>
    <x v="2"/>
    <x v="2"/>
    <n v="2.6"/>
    <n v="7"/>
    <x v="0"/>
    <x v="2"/>
    <x v="0"/>
    <s v="Yes"/>
  </r>
  <r>
    <n v="87"/>
    <n v="25"/>
    <n v="24.8"/>
    <x v="0"/>
    <x v="1"/>
    <x v="2"/>
    <x v="0"/>
    <x v="0"/>
    <n v="2.5"/>
    <n v="5"/>
    <x v="2"/>
    <x v="0"/>
    <x v="2"/>
    <s v="Yes"/>
  </r>
  <r>
    <n v="88"/>
    <n v="37"/>
    <n v="30.8"/>
    <x v="0"/>
    <x v="0"/>
    <x v="1"/>
    <x v="1"/>
    <x v="1"/>
    <n v="3.1"/>
    <n v="9"/>
    <x v="1"/>
    <x v="0"/>
    <x v="2"/>
    <s v="Yes"/>
  </r>
  <r>
    <n v="89"/>
    <n v="38"/>
    <n v="20.100000000000001"/>
    <x v="1"/>
    <x v="1"/>
    <x v="3"/>
    <x v="0"/>
    <x v="0"/>
    <n v="2.4"/>
    <n v="6"/>
    <x v="0"/>
    <x v="2"/>
    <x v="0"/>
    <s v="No"/>
  </r>
  <r>
    <n v="90"/>
    <n v="23"/>
    <n v="21.8"/>
    <x v="0"/>
    <x v="1"/>
    <x v="0"/>
    <x v="1"/>
    <x v="2"/>
    <n v="3.9"/>
    <n v="7"/>
    <x v="2"/>
    <x v="2"/>
    <x v="1"/>
    <s v="No"/>
  </r>
  <r>
    <n v="91"/>
    <n v="20"/>
    <n v="20.8"/>
    <x v="1"/>
    <x v="1"/>
    <x v="1"/>
    <x v="1"/>
    <x v="1"/>
    <n v="3.5"/>
    <n v="5"/>
    <x v="1"/>
    <x v="0"/>
    <x v="1"/>
    <s v="No"/>
  </r>
  <r>
    <n v="92"/>
    <n v="29"/>
    <n v="29.6"/>
    <x v="0"/>
    <x v="1"/>
    <x v="2"/>
    <x v="0"/>
    <x v="0"/>
    <n v="2.1"/>
    <n v="5"/>
    <x v="2"/>
    <x v="0"/>
    <x v="0"/>
    <s v="Yes"/>
  </r>
  <r>
    <n v="93"/>
    <n v="38"/>
    <n v="19.5"/>
    <x v="0"/>
    <x v="1"/>
    <x v="3"/>
    <x v="0"/>
    <x v="1"/>
    <n v="1.6"/>
    <n v="5"/>
    <x v="1"/>
    <x v="2"/>
    <x v="1"/>
    <s v="Yes"/>
  </r>
  <r>
    <n v="94"/>
    <n v="25"/>
    <n v="33.1"/>
    <x v="1"/>
    <x v="1"/>
    <x v="3"/>
    <x v="1"/>
    <x v="0"/>
    <n v="3.9"/>
    <n v="9"/>
    <x v="1"/>
    <x v="0"/>
    <x v="2"/>
    <s v="Yes"/>
  </r>
  <r>
    <n v="95"/>
    <n v="31"/>
    <n v="29.3"/>
    <x v="0"/>
    <x v="1"/>
    <x v="2"/>
    <x v="0"/>
    <x v="0"/>
    <n v="2.4"/>
    <n v="8"/>
    <x v="1"/>
    <x v="1"/>
    <x v="0"/>
    <s v="Yes"/>
  </r>
  <r>
    <n v="96"/>
    <n v="39"/>
    <n v="24.6"/>
    <x v="0"/>
    <x v="0"/>
    <x v="3"/>
    <x v="1"/>
    <x v="1"/>
    <n v="3.9"/>
    <n v="8"/>
    <x v="0"/>
    <x v="0"/>
    <x v="1"/>
    <s v="Yes"/>
  </r>
  <r>
    <n v="97"/>
    <n v="19"/>
    <n v="31.5"/>
    <x v="1"/>
    <x v="0"/>
    <x v="1"/>
    <x v="0"/>
    <x v="1"/>
    <n v="3.6"/>
    <n v="9"/>
    <x v="0"/>
    <x v="0"/>
    <x v="1"/>
    <s v="Yes"/>
  </r>
  <r>
    <n v="98"/>
    <n v="28"/>
    <n v="31.3"/>
    <x v="1"/>
    <x v="1"/>
    <x v="0"/>
    <x v="0"/>
    <x v="0"/>
    <n v="2.1"/>
    <n v="6"/>
    <x v="0"/>
    <x v="0"/>
    <x v="1"/>
    <s v="Yes"/>
  </r>
  <r>
    <n v="99"/>
    <n v="18"/>
    <n v="24.4"/>
    <x v="1"/>
    <x v="1"/>
    <x v="4"/>
    <x v="0"/>
    <x v="2"/>
    <n v="1.6"/>
    <n v="8"/>
    <x v="2"/>
    <x v="1"/>
    <x v="2"/>
    <s v="Yes"/>
  </r>
  <r>
    <n v="100"/>
    <n v="33"/>
    <n v="25.9"/>
    <x v="0"/>
    <x v="0"/>
    <x v="3"/>
    <x v="2"/>
    <x v="1"/>
    <n v="3.9"/>
    <n v="5"/>
    <x v="2"/>
    <x v="0"/>
    <x v="2"/>
    <s v="No"/>
  </r>
  <r>
    <n v="101"/>
    <n v="32"/>
    <n v="29.1"/>
    <x v="1"/>
    <x v="0"/>
    <x v="3"/>
    <x v="1"/>
    <x v="2"/>
    <n v="3.2"/>
    <n v="8"/>
    <x v="2"/>
    <x v="2"/>
    <x v="1"/>
    <s v="Yes"/>
  </r>
  <r>
    <n v="102"/>
    <n v="28"/>
    <n v="28.5"/>
    <x v="1"/>
    <x v="0"/>
    <x v="2"/>
    <x v="2"/>
    <x v="0"/>
    <n v="3"/>
    <n v="7"/>
    <x v="1"/>
    <x v="0"/>
    <x v="2"/>
    <s v="No"/>
  </r>
  <r>
    <n v="103"/>
    <n v="32"/>
    <n v="26.8"/>
    <x v="0"/>
    <x v="0"/>
    <x v="4"/>
    <x v="2"/>
    <x v="0"/>
    <n v="3.7"/>
    <n v="9"/>
    <x v="2"/>
    <x v="1"/>
    <x v="0"/>
    <s v="No"/>
  </r>
  <r>
    <n v="104"/>
    <n v="25"/>
    <n v="25.3"/>
    <x v="0"/>
    <x v="1"/>
    <x v="3"/>
    <x v="2"/>
    <x v="1"/>
    <n v="2.2999999999999998"/>
    <n v="7"/>
    <x v="2"/>
    <x v="2"/>
    <x v="0"/>
    <s v="Yes"/>
  </r>
  <r>
    <n v="105"/>
    <n v="39"/>
    <n v="33.700000000000003"/>
    <x v="1"/>
    <x v="0"/>
    <x v="4"/>
    <x v="0"/>
    <x v="2"/>
    <n v="1.7"/>
    <n v="7"/>
    <x v="0"/>
    <x v="0"/>
    <x v="1"/>
    <s v="No"/>
  </r>
  <r>
    <n v="106"/>
    <n v="39"/>
    <n v="20.5"/>
    <x v="0"/>
    <x v="1"/>
    <x v="4"/>
    <x v="1"/>
    <x v="0"/>
    <n v="2.2999999999999998"/>
    <n v="5"/>
    <x v="2"/>
    <x v="0"/>
    <x v="1"/>
    <s v="Yes"/>
  </r>
  <r>
    <n v="107"/>
    <n v="39"/>
    <n v="26.5"/>
    <x v="1"/>
    <x v="1"/>
    <x v="1"/>
    <x v="1"/>
    <x v="1"/>
    <n v="3.4"/>
    <n v="9"/>
    <x v="0"/>
    <x v="2"/>
    <x v="2"/>
    <s v="Yes"/>
  </r>
  <r>
    <n v="108"/>
    <n v="37"/>
    <n v="33.799999999999997"/>
    <x v="0"/>
    <x v="0"/>
    <x v="0"/>
    <x v="1"/>
    <x v="0"/>
    <n v="3.4"/>
    <n v="7"/>
    <x v="1"/>
    <x v="1"/>
    <x v="1"/>
    <s v="Yes"/>
  </r>
  <r>
    <n v="109"/>
    <n v="36"/>
    <n v="29.3"/>
    <x v="1"/>
    <x v="0"/>
    <x v="4"/>
    <x v="0"/>
    <x v="0"/>
    <n v="2.8"/>
    <n v="8"/>
    <x v="1"/>
    <x v="2"/>
    <x v="0"/>
    <s v="Yes"/>
  </r>
  <r>
    <n v="110"/>
    <n v="29"/>
    <n v="23.6"/>
    <x v="0"/>
    <x v="0"/>
    <x v="4"/>
    <x v="0"/>
    <x v="1"/>
    <n v="3.4"/>
    <n v="5"/>
    <x v="2"/>
    <x v="1"/>
    <x v="0"/>
    <s v="No"/>
  </r>
  <r>
    <n v="111"/>
    <n v="39"/>
    <n v="25.5"/>
    <x v="0"/>
    <x v="1"/>
    <x v="2"/>
    <x v="0"/>
    <x v="0"/>
    <n v="1.8"/>
    <n v="8"/>
    <x v="0"/>
    <x v="2"/>
    <x v="2"/>
    <s v="No"/>
  </r>
  <r>
    <n v="112"/>
    <n v="34"/>
    <n v="29.5"/>
    <x v="1"/>
    <x v="0"/>
    <x v="3"/>
    <x v="2"/>
    <x v="1"/>
    <n v="1.5"/>
    <n v="7"/>
    <x v="0"/>
    <x v="1"/>
    <x v="0"/>
    <s v="No"/>
  </r>
  <r>
    <n v="113"/>
    <n v="28"/>
    <n v="20.5"/>
    <x v="0"/>
    <x v="1"/>
    <x v="0"/>
    <x v="0"/>
    <x v="2"/>
    <n v="2.8"/>
    <n v="6"/>
    <x v="2"/>
    <x v="0"/>
    <x v="2"/>
    <s v="No"/>
  </r>
  <r>
    <n v="114"/>
    <n v="20"/>
    <n v="25.1"/>
    <x v="1"/>
    <x v="1"/>
    <x v="4"/>
    <x v="1"/>
    <x v="1"/>
    <n v="3.7"/>
    <n v="9"/>
    <x v="1"/>
    <x v="0"/>
    <x v="0"/>
    <s v="No"/>
  </r>
  <r>
    <n v="115"/>
    <n v="27"/>
    <n v="20.399999999999999"/>
    <x v="1"/>
    <x v="1"/>
    <x v="0"/>
    <x v="2"/>
    <x v="2"/>
    <n v="3.6"/>
    <n v="7"/>
    <x v="0"/>
    <x v="2"/>
    <x v="1"/>
    <s v="Yes"/>
  </r>
  <r>
    <n v="116"/>
    <n v="31"/>
    <n v="28.2"/>
    <x v="1"/>
    <x v="1"/>
    <x v="2"/>
    <x v="2"/>
    <x v="2"/>
    <n v="2.1"/>
    <n v="6"/>
    <x v="0"/>
    <x v="0"/>
    <x v="2"/>
    <s v="Yes"/>
  </r>
  <r>
    <n v="117"/>
    <n v="34"/>
    <n v="26.9"/>
    <x v="0"/>
    <x v="1"/>
    <x v="0"/>
    <x v="0"/>
    <x v="1"/>
    <n v="1.9"/>
    <n v="6"/>
    <x v="0"/>
    <x v="0"/>
    <x v="1"/>
    <s v="Yes"/>
  </r>
  <r>
    <n v="118"/>
    <n v="23"/>
    <n v="34.200000000000003"/>
    <x v="0"/>
    <x v="1"/>
    <x v="1"/>
    <x v="2"/>
    <x v="2"/>
    <n v="3.2"/>
    <n v="9"/>
    <x v="2"/>
    <x v="0"/>
    <x v="2"/>
    <s v="No"/>
  </r>
  <r>
    <n v="119"/>
    <n v="38"/>
    <n v="23.7"/>
    <x v="0"/>
    <x v="0"/>
    <x v="3"/>
    <x v="1"/>
    <x v="0"/>
    <n v="2.2999999999999998"/>
    <n v="7"/>
    <x v="2"/>
    <x v="1"/>
    <x v="0"/>
    <s v="Yes"/>
  </r>
  <r>
    <n v="120"/>
    <n v="27"/>
    <n v="26.1"/>
    <x v="1"/>
    <x v="0"/>
    <x v="2"/>
    <x v="1"/>
    <x v="1"/>
    <n v="3.1"/>
    <n v="5"/>
    <x v="2"/>
    <x v="0"/>
    <x v="2"/>
    <s v="No"/>
  </r>
  <r>
    <n v="121"/>
    <n v="32"/>
    <n v="28.1"/>
    <x v="1"/>
    <x v="1"/>
    <x v="1"/>
    <x v="2"/>
    <x v="1"/>
    <n v="2.2999999999999998"/>
    <n v="8"/>
    <x v="2"/>
    <x v="1"/>
    <x v="1"/>
    <s v="No"/>
  </r>
  <r>
    <n v="122"/>
    <n v="21"/>
    <n v="31.9"/>
    <x v="0"/>
    <x v="0"/>
    <x v="1"/>
    <x v="2"/>
    <x v="1"/>
    <n v="1.6"/>
    <n v="8"/>
    <x v="1"/>
    <x v="0"/>
    <x v="2"/>
    <s v="Yes"/>
  </r>
  <r>
    <n v="123"/>
    <n v="29"/>
    <n v="24.7"/>
    <x v="0"/>
    <x v="1"/>
    <x v="3"/>
    <x v="1"/>
    <x v="0"/>
    <n v="3"/>
    <n v="7"/>
    <x v="0"/>
    <x v="2"/>
    <x v="1"/>
    <s v="No"/>
  </r>
  <r>
    <n v="124"/>
    <n v="27"/>
    <n v="22.7"/>
    <x v="1"/>
    <x v="1"/>
    <x v="4"/>
    <x v="2"/>
    <x v="0"/>
    <n v="1.9"/>
    <n v="7"/>
    <x v="1"/>
    <x v="0"/>
    <x v="2"/>
    <s v="No"/>
  </r>
  <r>
    <n v="125"/>
    <n v="22"/>
    <n v="28.3"/>
    <x v="1"/>
    <x v="1"/>
    <x v="1"/>
    <x v="1"/>
    <x v="0"/>
    <n v="3.5"/>
    <n v="6"/>
    <x v="2"/>
    <x v="0"/>
    <x v="2"/>
    <s v="Yes"/>
  </r>
  <r>
    <n v="126"/>
    <n v="38"/>
    <n v="29.6"/>
    <x v="0"/>
    <x v="0"/>
    <x v="2"/>
    <x v="1"/>
    <x v="1"/>
    <n v="3.9"/>
    <n v="7"/>
    <x v="1"/>
    <x v="1"/>
    <x v="1"/>
    <s v="Yes"/>
  </r>
  <r>
    <n v="127"/>
    <n v="22"/>
    <n v="19.8"/>
    <x v="1"/>
    <x v="0"/>
    <x v="2"/>
    <x v="2"/>
    <x v="1"/>
    <n v="3"/>
    <n v="6"/>
    <x v="0"/>
    <x v="1"/>
    <x v="2"/>
    <s v="Yes"/>
  </r>
  <r>
    <n v="128"/>
    <n v="32"/>
    <n v="19.2"/>
    <x v="0"/>
    <x v="0"/>
    <x v="3"/>
    <x v="2"/>
    <x v="2"/>
    <n v="3.4"/>
    <n v="8"/>
    <x v="0"/>
    <x v="0"/>
    <x v="1"/>
    <s v="No"/>
  </r>
  <r>
    <n v="129"/>
    <n v="33"/>
    <n v="33.4"/>
    <x v="1"/>
    <x v="1"/>
    <x v="1"/>
    <x v="1"/>
    <x v="2"/>
    <n v="3.4"/>
    <n v="8"/>
    <x v="2"/>
    <x v="0"/>
    <x v="0"/>
    <s v="Yes"/>
  </r>
  <r>
    <n v="130"/>
    <n v="24"/>
    <n v="31.7"/>
    <x v="1"/>
    <x v="1"/>
    <x v="4"/>
    <x v="2"/>
    <x v="2"/>
    <n v="3.7"/>
    <n v="9"/>
    <x v="0"/>
    <x v="0"/>
    <x v="2"/>
    <s v="Yes"/>
  </r>
  <r>
    <n v="131"/>
    <n v="27"/>
    <n v="19.899999999999999"/>
    <x v="1"/>
    <x v="1"/>
    <x v="3"/>
    <x v="2"/>
    <x v="1"/>
    <n v="3.6"/>
    <n v="5"/>
    <x v="0"/>
    <x v="2"/>
    <x v="0"/>
    <s v="Yes"/>
  </r>
  <r>
    <n v="132"/>
    <n v="31"/>
    <n v="19.399999999999999"/>
    <x v="0"/>
    <x v="0"/>
    <x v="3"/>
    <x v="0"/>
    <x v="2"/>
    <n v="2.1"/>
    <n v="7"/>
    <x v="0"/>
    <x v="0"/>
    <x v="2"/>
    <s v="No"/>
  </r>
  <r>
    <n v="133"/>
    <n v="22"/>
    <n v="20.8"/>
    <x v="0"/>
    <x v="1"/>
    <x v="0"/>
    <x v="2"/>
    <x v="2"/>
    <n v="2.6"/>
    <n v="5"/>
    <x v="0"/>
    <x v="1"/>
    <x v="0"/>
    <s v="Yes"/>
  </r>
  <r>
    <n v="134"/>
    <n v="22"/>
    <n v="27.6"/>
    <x v="0"/>
    <x v="0"/>
    <x v="2"/>
    <x v="0"/>
    <x v="2"/>
    <n v="1.8"/>
    <n v="6"/>
    <x v="1"/>
    <x v="0"/>
    <x v="2"/>
    <s v="No"/>
  </r>
  <r>
    <n v="135"/>
    <n v="20"/>
    <n v="20.3"/>
    <x v="0"/>
    <x v="0"/>
    <x v="1"/>
    <x v="2"/>
    <x v="1"/>
    <n v="3.3"/>
    <n v="7"/>
    <x v="1"/>
    <x v="1"/>
    <x v="2"/>
    <s v="No"/>
  </r>
  <r>
    <n v="136"/>
    <n v="25"/>
    <n v="27.9"/>
    <x v="1"/>
    <x v="0"/>
    <x v="1"/>
    <x v="1"/>
    <x v="1"/>
    <n v="3.9"/>
    <n v="9"/>
    <x v="2"/>
    <x v="0"/>
    <x v="2"/>
    <s v="Yes"/>
  </r>
  <r>
    <n v="137"/>
    <n v="30"/>
    <n v="32.9"/>
    <x v="1"/>
    <x v="1"/>
    <x v="2"/>
    <x v="1"/>
    <x v="0"/>
    <n v="1.5"/>
    <n v="5"/>
    <x v="1"/>
    <x v="1"/>
    <x v="2"/>
    <s v="Yes"/>
  </r>
  <r>
    <n v="138"/>
    <n v="36"/>
    <n v="30.6"/>
    <x v="0"/>
    <x v="0"/>
    <x v="4"/>
    <x v="1"/>
    <x v="0"/>
    <n v="2.2999999999999998"/>
    <n v="6"/>
    <x v="2"/>
    <x v="2"/>
    <x v="2"/>
    <s v="No"/>
  </r>
  <r>
    <n v="139"/>
    <n v="38"/>
    <n v="21.5"/>
    <x v="1"/>
    <x v="0"/>
    <x v="3"/>
    <x v="0"/>
    <x v="2"/>
    <n v="2"/>
    <n v="6"/>
    <x v="0"/>
    <x v="2"/>
    <x v="0"/>
    <s v="No"/>
  </r>
  <r>
    <n v="140"/>
    <n v="35"/>
    <n v="26.3"/>
    <x v="1"/>
    <x v="0"/>
    <x v="2"/>
    <x v="1"/>
    <x v="1"/>
    <n v="3.7"/>
    <n v="7"/>
    <x v="1"/>
    <x v="1"/>
    <x v="0"/>
    <s v="No"/>
  </r>
  <r>
    <n v="141"/>
    <n v="30"/>
    <n v="30.8"/>
    <x v="0"/>
    <x v="1"/>
    <x v="0"/>
    <x v="1"/>
    <x v="0"/>
    <n v="2.7"/>
    <n v="9"/>
    <x v="1"/>
    <x v="1"/>
    <x v="2"/>
    <s v="No"/>
  </r>
  <r>
    <n v="142"/>
    <n v="20"/>
    <n v="25.6"/>
    <x v="1"/>
    <x v="1"/>
    <x v="2"/>
    <x v="0"/>
    <x v="1"/>
    <n v="2.2999999999999998"/>
    <n v="7"/>
    <x v="1"/>
    <x v="2"/>
    <x v="2"/>
    <s v="No"/>
  </r>
  <r>
    <n v="143"/>
    <n v="23"/>
    <n v="29.9"/>
    <x v="0"/>
    <x v="1"/>
    <x v="4"/>
    <x v="2"/>
    <x v="2"/>
    <n v="3"/>
    <n v="8"/>
    <x v="1"/>
    <x v="0"/>
    <x v="1"/>
    <s v="Yes"/>
  </r>
  <r>
    <n v="144"/>
    <n v="39"/>
    <n v="29"/>
    <x v="0"/>
    <x v="0"/>
    <x v="4"/>
    <x v="0"/>
    <x v="0"/>
    <n v="3.2"/>
    <n v="8"/>
    <x v="0"/>
    <x v="1"/>
    <x v="1"/>
    <s v="Yes"/>
  </r>
  <r>
    <n v="145"/>
    <n v="38"/>
    <n v="24.5"/>
    <x v="0"/>
    <x v="0"/>
    <x v="1"/>
    <x v="0"/>
    <x v="0"/>
    <n v="2.6"/>
    <n v="7"/>
    <x v="1"/>
    <x v="2"/>
    <x v="1"/>
    <s v="Yes"/>
  </r>
  <r>
    <n v="146"/>
    <n v="34"/>
    <n v="24.6"/>
    <x v="0"/>
    <x v="1"/>
    <x v="0"/>
    <x v="0"/>
    <x v="1"/>
    <n v="3.3"/>
    <n v="8"/>
    <x v="2"/>
    <x v="2"/>
    <x v="2"/>
    <s v="Yes"/>
  </r>
  <r>
    <n v="147"/>
    <n v="26"/>
    <n v="31.3"/>
    <x v="0"/>
    <x v="0"/>
    <x v="1"/>
    <x v="1"/>
    <x v="0"/>
    <n v="3.8"/>
    <n v="8"/>
    <x v="0"/>
    <x v="1"/>
    <x v="1"/>
    <s v="Yes"/>
  </r>
  <r>
    <n v="148"/>
    <n v="32"/>
    <n v="21.3"/>
    <x v="0"/>
    <x v="0"/>
    <x v="2"/>
    <x v="2"/>
    <x v="2"/>
    <n v="3.3"/>
    <n v="9"/>
    <x v="2"/>
    <x v="2"/>
    <x v="0"/>
    <s v="Yes"/>
  </r>
  <r>
    <n v="149"/>
    <n v="40"/>
    <n v="30.2"/>
    <x v="1"/>
    <x v="1"/>
    <x v="1"/>
    <x v="0"/>
    <x v="1"/>
    <n v="4"/>
    <n v="6"/>
    <x v="0"/>
    <x v="2"/>
    <x v="1"/>
    <s v="No"/>
  </r>
  <r>
    <n v="150"/>
    <n v="35"/>
    <n v="27.9"/>
    <x v="0"/>
    <x v="0"/>
    <x v="1"/>
    <x v="0"/>
    <x v="1"/>
    <n v="2.2999999999999998"/>
    <n v="8"/>
    <x v="2"/>
    <x v="2"/>
    <x v="0"/>
    <s v="Yes"/>
  </r>
  <r>
    <n v="151"/>
    <n v="22"/>
    <n v="34.5"/>
    <x v="1"/>
    <x v="1"/>
    <x v="3"/>
    <x v="2"/>
    <x v="0"/>
    <n v="2.4"/>
    <n v="9"/>
    <x v="2"/>
    <x v="0"/>
    <x v="1"/>
    <s v="Yes"/>
  </r>
  <r>
    <n v="152"/>
    <n v="31"/>
    <n v="26.8"/>
    <x v="1"/>
    <x v="0"/>
    <x v="1"/>
    <x v="0"/>
    <x v="2"/>
    <n v="1.9"/>
    <n v="7"/>
    <x v="2"/>
    <x v="1"/>
    <x v="0"/>
    <s v="No"/>
  </r>
  <r>
    <n v="153"/>
    <n v="20"/>
    <n v="22.6"/>
    <x v="0"/>
    <x v="0"/>
    <x v="2"/>
    <x v="2"/>
    <x v="0"/>
    <n v="1.7"/>
    <n v="6"/>
    <x v="2"/>
    <x v="0"/>
    <x v="1"/>
    <s v="Yes"/>
  </r>
  <r>
    <n v="154"/>
    <n v="39"/>
    <n v="28.8"/>
    <x v="0"/>
    <x v="0"/>
    <x v="4"/>
    <x v="0"/>
    <x v="1"/>
    <n v="3.9"/>
    <n v="9"/>
    <x v="1"/>
    <x v="0"/>
    <x v="1"/>
    <s v="No"/>
  </r>
  <r>
    <n v="155"/>
    <n v="37"/>
    <n v="29"/>
    <x v="0"/>
    <x v="1"/>
    <x v="2"/>
    <x v="1"/>
    <x v="1"/>
    <n v="3.5"/>
    <n v="8"/>
    <x v="1"/>
    <x v="2"/>
    <x v="1"/>
    <s v="Yes"/>
  </r>
  <r>
    <n v="156"/>
    <n v="23"/>
    <n v="25.8"/>
    <x v="0"/>
    <x v="1"/>
    <x v="0"/>
    <x v="1"/>
    <x v="0"/>
    <n v="1.9"/>
    <n v="7"/>
    <x v="2"/>
    <x v="2"/>
    <x v="0"/>
    <s v="Yes"/>
  </r>
  <r>
    <n v="157"/>
    <n v="29"/>
    <n v="27"/>
    <x v="1"/>
    <x v="1"/>
    <x v="0"/>
    <x v="1"/>
    <x v="1"/>
    <n v="2.2000000000000002"/>
    <n v="6"/>
    <x v="0"/>
    <x v="1"/>
    <x v="1"/>
    <s v="No"/>
  </r>
  <r>
    <n v="158"/>
    <n v="30"/>
    <n v="32.799999999999997"/>
    <x v="0"/>
    <x v="0"/>
    <x v="0"/>
    <x v="1"/>
    <x v="0"/>
    <n v="3.3"/>
    <n v="6"/>
    <x v="0"/>
    <x v="2"/>
    <x v="2"/>
    <s v="No"/>
  </r>
  <r>
    <n v="159"/>
    <n v="33"/>
    <n v="33"/>
    <x v="0"/>
    <x v="0"/>
    <x v="4"/>
    <x v="1"/>
    <x v="0"/>
    <n v="2.6"/>
    <n v="6"/>
    <x v="0"/>
    <x v="0"/>
    <x v="0"/>
    <s v="Yes"/>
  </r>
  <r>
    <n v="160"/>
    <n v="19"/>
    <n v="23.1"/>
    <x v="0"/>
    <x v="1"/>
    <x v="1"/>
    <x v="0"/>
    <x v="1"/>
    <n v="2.6"/>
    <n v="7"/>
    <x v="2"/>
    <x v="2"/>
    <x v="0"/>
    <s v="No"/>
  </r>
  <r>
    <n v="161"/>
    <n v="19"/>
    <n v="25.1"/>
    <x v="1"/>
    <x v="1"/>
    <x v="1"/>
    <x v="1"/>
    <x v="1"/>
    <n v="2.5"/>
    <n v="8"/>
    <x v="2"/>
    <x v="2"/>
    <x v="2"/>
    <s v="Yes"/>
  </r>
  <r>
    <n v="162"/>
    <n v="22"/>
    <n v="34.6"/>
    <x v="0"/>
    <x v="1"/>
    <x v="2"/>
    <x v="2"/>
    <x v="2"/>
    <n v="3.4"/>
    <n v="6"/>
    <x v="2"/>
    <x v="0"/>
    <x v="0"/>
    <s v="Yes"/>
  </r>
  <r>
    <n v="163"/>
    <n v="19"/>
    <n v="19.100000000000001"/>
    <x v="0"/>
    <x v="1"/>
    <x v="1"/>
    <x v="1"/>
    <x v="1"/>
    <n v="3"/>
    <n v="9"/>
    <x v="0"/>
    <x v="2"/>
    <x v="2"/>
    <s v="No"/>
  </r>
  <r>
    <n v="164"/>
    <n v="23"/>
    <n v="25"/>
    <x v="0"/>
    <x v="1"/>
    <x v="1"/>
    <x v="2"/>
    <x v="0"/>
    <n v="2.7"/>
    <n v="9"/>
    <x v="1"/>
    <x v="2"/>
    <x v="1"/>
    <s v="No"/>
  </r>
  <r>
    <n v="165"/>
    <n v="28"/>
    <n v="29.6"/>
    <x v="0"/>
    <x v="1"/>
    <x v="4"/>
    <x v="2"/>
    <x v="2"/>
    <n v="2.2000000000000002"/>
    <n v="9"/>
    <x v="2"/>
    <x v="1"/>
    <x v="2"/>
    <s v="Yes"/>
  </r>
  <r>
    <n v="166"/>
    <n v="36"/>
    <n v="26.4"/>
    <x v="0"/>
    <x v="0"/>
    <x v="0"/>
    <x v="0"/>
    <x v="0"/>
    <n v="3.9"/>
    <n v="5"/>
    <x v="0"/>
    <x v="1"/>
    <x v="0"/>
    <s v="No"/>
  </r>
  <r>
    <n v="167"/>
    <n v="31"/>
    <n v="21"/>
    <x v="1"/>
    <x v="1"/>
    <x v="1"/>
    <x v="2"/>
    <x v="2"/>
    <n v="3.7"/>
    <n v="5"/>
    <x v="2"/>
    <x v="1"/>
    <x v="2"/>
    <s v="Yes"/>
  </r>
  <r>
    <n v="168"/>
    <n v="35"/>
    <n v="23.9"/>
    <x v="0"/>
    <x v="1"/>
    <x v="2"/>
    <x v="0"/>
    <x v="2"/>
    <n v="3.8"/>
    <n v="7"/>
    <x v="2"/>
    <x v="2"/>
    <x v="2"/>
    <s v="No"/>
  </r>
  <r>
    <n v="169"/>
    <n v="37"/>
    <n v="26.5"/>
    <x v="1"/>
    <x v="1"/>
    <x v="1"/>
    <x v="1"/>
    <x v="1"/>
    <n v="3.9"/>
    <n v="7"/>
    <x v="1"/>
    <x v="0"/>
    <x v="1"/>
    <s v="No"/>
  </r>
  <r>
    <n v="170"/>
    <n v="28"/>
    <n v="26.4"/>
    <x v="0"/>
    <x v="1"/>
    <x v="4"/>
    <x v="2"/>
    <x v="0"/>
    <n v="2.9"/>
    <n v="8"/>
    <x v="1"/>
    <x v="1"/>
    <x v="0"/>
    <s v="Yes"/>
  </r>
  <r>
    <n v="171"/>
    <n v="27"/>
    <n v="34.299999999999997"/>
    <x v="1"/>
    <x v="1"/>
    <x v="3"/>
    <x v="2"/>
    <x v="2"/>
    <n v="3.4"/>
    <n v="6"/>
    <x v="0"/>
    <x v="0"/>
    <x v="0"/>
    <s v="No"/>
  </r>
  <r>
    <n v="172"/>
    <n v="22"/>
    <n v="20.3"/>
    <x v="1"/>
    <x v="0"/>
    <x v="4"/>
    <x v="2"/>
    <x v="0"/>
    <n v="2.1"/>
    <n v="6"/>
    <x v="0"/>
    <x v="1"/>
    <x v="0"/>
    <s v="No"/>
  </r>
  <r>
    <n v="173"/>
    <n v="40"/>
    <n v="26.3"/>
    <x v="1"/>
    <x v="0"/>
    <x v="1"/>
    <x v="0"/>
    <x v="2"/>
    <n v="3.1"/>
    <n v="8"/>
    <x v="1"/>
    <x v="0"/>
    <x v="1"/>
    <s v="No"/>
  </r>
  <r>
    <n v="174"/>
    <n v="28"/>
    <n v="23.2"/>
    <x v="1"/>
    <x v="0"/>
    <x v="1"/>
    <x v="0"/>
    <x v="0"/>
    <n v="3.3"/>
    <n v="5"/>
    <x v="0"/>
    <x v="2"/>
    <x v="1"/>
    <s v="Yes"/>
  </r>
  <r>
    <n v="175"/>
    <n v="30"/>
    <n v="31.5"/>
    <x v="1"/>
    <x v="1"/>
    <x v="4"/>
    <x v="0"/>
    <x v="2"/>
    <n v="2.9"/>
    <n v="5"/>
    <x v="1"/>
    <x v="2"/>
    <x v="0"/>
    <s v="No"/>
  </r>
  <r>
    <n v="176"/>
    <n v="22"/>
    <n v="32.5"/>
    <x v="0"/>
    <x v="1"/>
    <x v="0"/>
    <x v="0"/>
    <x v="2"/>
    <n v="1.9"/>
    <n v="8"/>
    <x v="2"/>
    <x v="2"/>
    <x v="2"/>
    <s v="Yes"/>
  </r>
  <r>
    <n v="177"/>
    <n v="18"/>
    <n v="30.7"/>
    <x v="0"/>
    <x v="0"/>
    <x v="0"/>
    <x v="2"/>
    <x v="0"/>
    <n v="3.7"/>
    <n v="8"/>
    <x v="2"/>
    <x v="2"/>
    <x v="1"/>
    <s v="No"/>
  </r>
  <r>
    <n v="178"/>
    <n v="39"/>
    <n v="20.100000000000001"/>
    <x v="1"/>
    <x v="1"/>
    <x v="2"/>
    <x v="0"/>
    <x v="1"/>
    <n v="2.2000000000000002"/>
    <n v="6"/>
    <x v="1"/>
    <x v="2"/>
    <x v="0"/>
    <s v="No"/>
  </r>
  <r>
    <n v="179"/>
    <n v="36"/>
    <n v="30.4"/>
    <x v="1"/>
    <x v="1"/>
    <x v="2"/>
    <x v="2"/>
    <x v="1"/>
    <n v="1.7"/>
    <n v="5"/>
    <x v="1"/>
    <x v="2"/>
    <x v="1"/>
    <s v="No"/>
  </r>
  <r>
    <n v="180"/>
    <n v="39"/>
    <n v="26.8"/>
    <x v="0"/>
    <x v="0"/>
    <x v="2"/>
    <x v="1"/>
    <x v="0"/>
    <n v="2.1"/>
    <n v="6"/>
    <x v="1"/>
    <x v="1"/>
    <x v="0"/>
    <s v="No"/>
  </r>
  <r>
    <n v="181"/>
    <n v="31"/>
    <n v="30.1"/>
    <x v="0"/>
    <x v="0"/>
    <x v="0"/>
    <x v="2"/>
    <x v="0"/>
    <n v="3.7"/>
    <n v="5"/>
    <x v="2"/>
    <x v="2"/>
    <x v="2"/>
    <s v="No"/>
  </r>
  <r>
    <n v="182"/>
    <n v="20"/>
    <n v="33.6"/>
    <x v="1"/>
    <x v="0"/>
    <x v="1"/>
    <x v="2"/>
    <x v="1"/>
    <n v="2.9"/>
    <n v="6"/>
    <x v="0"/>
    <x v="2"/>
    <x v="2"/>
    <s v="No"/>
  </r>
  <r>
    <n v="183"/>
    <n v="21"/>
    <n v="29.7"/>
    <x v="0"/>
    <x v="0"/>
    <x v="1"/>
    <x v="1"/>
    <x v="1"/>
    <n v="2.6"/>
    <n v="9"/>
    <x v="1"/>
    <x v="2"/>
    <x v="2"/>
    <s v="Yes"/>
  </r>
  <r>
    <n v="184"/>
    <n v="35"/>
    <n v="26.1"/>
    <x v="0"/>
    <x v="0"/>
    <x v="3"/>
    <x v="1"/>
    <x v="1"/>
    <n v="3.4"/>
    <n v="9"/>
    <x v="0"/>
    <x v="1"/>
    <x v="0"/>
    <s v="No"/>
  </r>
  <r>
    <n v="185"/>
    <n v="40"/>
    <n v="19.600000000000001"/>
    <x v="1"/>
    <x v="0"/>
    <x v="3"/>
    <x v="0"/>
    <x v="2"/>
    <n v="2.5"/>
    <n v="6"/>
    <x v="2"/>
    <x v="0"/>
    <x v="2"/>
    <s v="No"/>
  </r>
  <r>
    <n v="186"/>
    <n v="29"/>
    <n v="34.9"/>
    <x v="0"/>
    <x v="1"/>
    <x v="3"/>
    <x v="1"/>
    <x v="1"/>
    <n v="3.2"/>
    <n v="9"/>
    <x v="0"/>
    <x v="0"/>
    <x v="0"/>
    <s v="Yes"/>
  </r>
  <r>
    <n v="187"/>
    <n v="23"/>
    <n v="34.9"/>
    <x v="0"/>
    <x v="0"/>
    <x v="0"/>
    <x v="0"/>
    <x v="1"/>
    <n v="3.9"/>
    <n v="8"/>
    <x v="2"/>
    <x v="0"/>
    <x v="2"/>
    <s v="No"/>
  </r>
  <r>
    <n v="188"/>
    <n v="35"/>
    <n v="24.8"/>
    <x v="1"/>
    <x v="0"/>
    <x v="3"/>
    <x v="1"/>
    <x v="1"/>
    <n v="2.2000000000000002"/>
    <n v="5"/>
    <x v="0"/>
    <x v="0"/>
    <x v="0"/>
    <s v="Yes"/>
  </r>
  <r>
    <n v="189"/>
    <n v="25"/>
    <n v="21.9"/>
    <x v="1"/>
    <x v="0"/>
    <x v="3"/>
    <x v="2"/>
    <x v="0"/>
    <n v="3.3"/>
    <n v="5"/>
    <x v="0"/>
    <x v="0"/>
    <x v="1"/>
    <s v="No"/>
  </r>
  <r>
    <n v="190"/>
    <n v="32"/>
    <n v="22.4"/>
    <x v="1"/>
    <x v="0"/>
    <x v="0"/>
    <x v="2"/>
    <x v="2"/>
    <n v="2.1"/>
    <n v="9"/>
    <x v="1"/>
    <x v="0"/>
    <x v="2"/>
    <s v="No"/>
  </r>
  <r>
    <n v="191"/>
    <n v="25"/>
    <n v="23.5"/>
    <x v="1"/>
    <x v="0"/>
    <x v="3"/>
    <x v="1"/>
    <x v="2"/>
    <n v="1.7"/>
    <n v="9"/>
    <x v="2"/>
    <x v="1"/>
    <x v="2"/>
    <s v="No"/>
  </r>
  <r>
    <n v="192"/>
    <n v="35"/>
    <n v="26.7"/>
    <x v="0"/>
    <x v="1"/>
    <x v="1"/>
    <x v="1"/>
    <x v="0"/>
    <n v="2.5"/>
    <n v="6"/>
    <x v="1"/>
    <x v="2"/>
    <x v="1"/>
    <s v="No"/>
  </r>
  <r>
    <n v="193"/>
    <n v="25"/>
    <n v="32.5"/>
    <x v="0"/>
    <x v="0"/>
    <x v="3"/>
    <x v="0"/>
    <x v="0"/>
    <n v="2.5"/>
    <n v="8"/>
    <x v="2"/>
    <x v="0"/>
    <x v="1"/>
    <s v="No"/>
  </r>
  <r>
    <n v="194"/>
    <n v="25"/>
    <n v="22.7"/>
    <x v="0"/>
    <x v="0"/>
    <x v="3"/>
    <x v="1"/>
    <x v="1"/>
    <n v="2.8"/>
    <n v="6"/>
    <x v="0"/>
    <x v="2"/>
    <x v="0"/>
    <s v="Yes"/>
  </r>
  <r>
    <n v="195"/>
    <n v="20"/>
    <n v="21.6"/>
    <x v="1"/>
    <x v="1"/>
    <x v="0"/>
    <x v="1"/>
    <x v="2"/>
    <n v="3.9"/>
    <n v="5"/>
    <x v="0"/>
    <x v="1"/>
    <x v="2"/>
    <s v="Yes"/>
  </r>
  <r>
    <n v="196"/>
    <n v="33"/>
    <n v="33.6"/>
    <x v="1"/>
    <x v="1"/>
    <x v="0"/>
    <x v="2"/>
    <x v="2"/>
    <n v="3.4"/>
    <n v="8"/>
    <x v="1"/>
    <x v="0"/>
    <x v="2"/>
    <s v="No"/>
  </r>
  <r>
    <n v="197"/>
    <n v="27"/>
    <n v="22.8"/>
    <x v="0"/>
    <x v="1"/>
    <x v="4"/>
    <x v="2"/>
    <x v="2"/>
    <n v="3.4"/>
    <n v="7"/>
    <x v="0"/>
    <x v="2"/>
    <x v="0"/>
    <s v="No"/>
  </r>
  <r>
    <n v="198"/>
    <n v="19"/>
    <n v="27.8"/>
    <x v="1"/>
    <x v="0"/>
    <x v="4"/>
    <x v="1"/>
    <x v="0"/>
    <n v="3.8"/>
    <n v="9"/>
    <x v="2"/>
    <x v="2"/>
    <x v="0"/>
    <s v="Yes"/>
  </r>
  <r>
    <n v="199"/>
    <n v="24"/>
    <n v="23.9"/>
    <x v="0"/>
    <x v="0"/>
    <x v="3"/>
    <x v="2"/>
    <x v="0"/>
    <n v="3.9"/>
    <n v="7"/>
    <x v="1"/>
    <x v="2"/>
    <x v="2"/>
    <s v="No"/>
  </r>
  <r>
    <n v="200"/>
    <n v="32"/>
    <n v="21.3"/>
    <x v="0"/>
    <x v="0"/>
    <x v="0"/>
    <x v="2"/>
    <x v="0"/>
    <n v="2.7"/>
    <n v="9"/>
    <x v="2"/>
    <x v="1"/>
    <x v="2"/>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482BFD-4CB7-4F8D-BB17-BFACB5FA04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tress level">
  <location ref="G3:J8" firstHeaderRow="1" firstDataRow="2" firstDataCol="1"/>
  <pivotFields count="14">
    <pivotField dataField="1" showAll="0"/>
    <pivotField showAll="0"/>
    <pivotField showAll="0"/>
    <pivotField axis="axisCol" showAll="0">
      <items count="3">
        <item x="0"/>
        <item x="1"/>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s>
  <rowFields count="1">
    <field x="10"/>
  </rowFields>
  <rowItems count="4">
    <i>
      <x/>
    </i>
    <i>
      <x v="1"/>
    </i>
    <i>
      <x v="2"/>
    </i>
    <i t="grand">
      <x/>
    </i>
  </rowItems>
  <colFields count="1">
    <field x="3"/>
  </colFields>
  <colItems count="3">
    <i>
      <x/>
    </i>
    <i>
      <x v="1"/>
    </i>
    <i t="grand">
      <x/>
    </i>
  </colItems>
  <dataFields count="1">
    <dataField name="Count of User_ID" fld="0" subtotal="count" baseField="1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3" format="12" series="1">
      <pivotArea type="data" outline="0" fieldPosition="0">
        <references count="2">
          <reference field="4294967294" count="1" selected="0">
            <x v="0"/>
          </reference>
          <reference field="3" count="1" selected="0">
            <x v="0"/>
          </reference>
        </references>
      </pivotArea>
    </chartFormat>
    <chartFormat chart="23" format="1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C10EF-F31D-4BD5-9461-2A25E57089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cod status">
  <location ref="A3:B6" firstHeaderRow="1" firstDataRow="1" firstDataCol="1"/>
  <pivotFields count="14">
    <pivotField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Exercise_Min_per_Day" fld="5" subtotal="average" baseField="3"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3" count="1" selected="0">
            <x v="0"/>
          </reference>
        </references>
      </pivotArea>
    </chartFormat>
    <chartFormat chart="14" format="1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F85B10-80AF-487F-A199-805906DDED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K8" firstHeaderRow="1" firstDataRow="2" firstDataCol="1"/>
  <pivotFields count="14">
    <pivotField showAll="0"/>
    <pivotField showAll="0"/>
    <pivotField showAll="0"/>
    <pivotField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axis="axisCol" dataField="1" showAll="0">
      <items count="4">
        <item x="0"/>
        <item x="1"/>
        <item x="2"/>
        <item t="default"/>
      </items>
    </pivotField>
    <pivotField showAll="0"/>
    <pivotField showAll="0"/>
  </pivotFields>
  <rowFields count="1">
    <field x="7"/>
  </rowFields>
  <rowItems count="4">
    <i>
      <x/>
    </i>
    <i>
      <x v="1"/>
    </i>
    <i>
      <x v="2"/>
    </i>
    <i t="grand">
      <x/>
    </i>
  </rowItems>
  <colFields count="1">
    <field x="11"/>
  </colFields>
  <colItems count="4">
    <i>
      <x/>
    </i>
    <i>
      <x v="1"/>
    </i>
    <i>
      <x v="2"/>
    </i>
    <i t="grand">
      <x/>
    </i>
  </colItems>
  <dataFields count="1">
    <dataField name="Count of Bloating_Frequency" fld="11"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14" format="18" series="1">
      <pivotArea type="data" outline="0" fieldPosition="0">
        <references count="2">
          <reference field="4294967294" count="1" selected="0">
            <x v="0"/>
          </reference>
          <reference field="11" count="1" selected="0">
            <x v="0"/>
          </reference>
        </references>
      </pivotArea>
    </chartFormat>
    <chartFormat chart="14" format="19" series="1">
      <pivotArea type="data" outline="0" fieldPosition="0">
        <references count="2">
          <reference field="4294967294" count="1" selected="0">
            <x v="0"/>
          </reference>
          <reference field="11" count="1" selected="0">
            <x v="1"/>
          </reference>
        </references>
      </pivotArea>
    </chartFormat>
    <chartFormat chart="14" format="20"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059AF-4F62-4FEE-B270-4C1B0E2102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et">
  <location ref="A3:B7" firstHeaderRow="1" firstDataRow="1" firstDataCol="1"/>
  <pivotFields count="14">
    <pivotField showAll="0"/>
    <pivotField showAll="0"/>
    <pivotField showAll="0"/>
    <pivotField showAll="0">
      <items count="3">
        <item x="0"/>
        <item x="1"/>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Count of Bloating_Frequency" fld="1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13" format="21" series="1">
      <pivotArea type="data" outline="0" fieldPosition="0">
        <references count="1">
          <reference field="4294967294" count="1" selected="0">
            <x v="0"/>
          </reference>
        </references>
      </pivotArea>
    </chartFormat>
    <chartFormat chart="13" format="22">
      <pivotArea type="data" outline="0" fieldPosition="0">
        <references count="2">
          <reference field="4294967294" count="1" selected="0">
            <x v="0"/>
          </reference>
          <reference field="6" count="1" selected="0">
            <x v="0"/>
          </reference>
        </references>
      </pivotArea>
    </chartFormat>
    <chartFormat chart="13" format="23">
      <pivotArea type="data" outline="0" fieldPosition="0">
        <references count="2">
          <reference field="4294967294" count="1" selected="0">
            <x v="0"/>
          </reference>
          <reference field="6" count="1" selected="0">
            <x v="1"/>
          </reference>
        </references>
      </pivotArea>
    </chartFormat>
    <chartFormat chart="13" format="2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93D45C-D878-4B06-8DFC-F40BEEBE94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E10" firstHeaderRow="1" firstDataRow="2" firstDataCol="1"/>
  <pivotFields count="14">
    <pivotField dataField="1" showAll="0"/>
    <pivotField showAll="0"/>
    <pivotField showAll="0"/>
    <pivotField showAll="0">
      <items count="3">
        <item x="0"/>
        <item x="1"/>
        <item t="default"/>
      </items>
    </pivotField>
    <pivotField showAll="0"/>
    <pivotField axis="axisRow" showAll="0">
      <items count="6">
        <item x="4"/>
        <item x="0"/>
        <item x="2"/>
        <item x="3"/>
        <item x="1"/>
        <item t="default"/>
      </items>
    </pivotField>
    <pivotField showAll="0"/>
    <pivotField showAll="0"/>
    <pivotField showAll="0"/>
    <pivotField showAll="0"/>
    <pivotField showAll="0"/>
    <pivotField showAll="0"/>
    <pivotField axis="axisCol" showAll="0">
      <items count="4">
        <item x="2"/>
        <item x="1"/>
        <item x="0"/>
        <item t="default"/>
      </items>
    </pivotField>
    <pivotField showAll="0"/>
  </pivotFields>
  <rowFields count="1">
    <field x="5"/>
  </rowFields>
  <rowItems count="6">
    <i>
      <x/>
    </i>
    <i>
      <x v="1"/>
    </i>
    <i>
      <x v="2"/>
    </i>
    <i>
      <x v="3"/>
    </i>
    <i>
      <x v="4"/>
    </i>
    <i t="grand">
      <x/>
    </i>
  </rowItems>
  <colFields count="1">
    <field x="12"/>
  </colFields>
  <colItems count="4">
    <i>
      <x/>
    </i>
    <i>
      <x v="1"/>
    </i>
    <i>
      <x v="2"/>
    </i>
    <i t="grand">
      <x/>
    </i>
  </colItems>
  <dataFields count="1">
    <dataField name="Count of User_ID" fld="0" subtotal="count" baseField="5"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1" format="18" series="1">
      <pivotArea type="data" outline="0" fieldPosition="0">
        <references count="2">
          <reference field="4294967294" count="1" selected="0">
            <x v="0"/>
          </reference>
          <reference field="12" count="1" selected="0">
            <x v="0"/>
          </reference>
        </references>
      </pivotArea>
    </chartFormat>
    <chartFormat chart="21" format="19" series="1">
      <pivotArea type="data" outline="0" fieldPosition="0">
        <references count="2">
          <reference field="4294967294" count="1" selected="0">
            <x v="0"/>
          </reference>
          <reference field="12" count="1" selected="0">
            <x v="1"/>
          </reference>
        </references>
      </pivotArea>
    </chartFormat>
    <chartFormat chart="21" format="20"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372B8-76A9-4BCB-8091-96D8AF7AF4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YCLE _REGULARITY">
  <location ref="A3:B6" firstHeaderRow="1" firstDataRow="1" firstDataCol="1"/>
  <pivotFields count="14">
    <pivotField dataField="1"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User_ID" fld="0" baseField="0" baseItem="0"/>
  </dataFields>
  <chartFormats count="2">
    <chartFormat chart="0"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AB23B-EA85-4450-B955-2AD5A4D744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User_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2D621E-B5DF-4E0A-9FA8-00DF38A660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cod status">
  <location ref="A3:B6" firstHeaderRow="1" firstDataRow="1" firstDataCol="1"/>
  <pivotFields count="14">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User_ID" fld="0" baseField="0" baseItem="0"/>
  </dataFields>
  <chartFormats count="2">
    <chartFormat chart="0"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OD_Status" xr10:uid="{4E608171-F016-4571-B19C-6A967C171841}" sourceName="PCOD_Status">
  <pivotTables>
    <pivotTable tabId="14" name="PivotTable3"/>
    <pivotTable tabId="12" name="PivotTable1"/>
    <pivotTable tabId="7" name="PivotTable10"/>
    <pivotTable tabId="7" name="PivotTable9"/>
    <pivotTable tabId="8" name="PivotTable11"/>
    <pivotTable tabId="6" name="PivotTable7"/>
    <pivotTable tabId="6" name="PivotTable8"/>
    <pivotTable tabId="5" name="PivotTable6"/>
  </pivotTables>
  <data>
    <tabular pivotCacheId="21457278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D_Status 2" xr10:uid="{62EFF095-C65B-4253-9E45-ACA5EF8DB47C}" cache="Slicer_PCOD_Status" caption="PCOD_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D_Status" xr10:uid="{0AADC5FA-D570-4F9F-9E6B-A42B38436DD1}" cache="Slicer_PCOD_Status" caption="PCOD_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7351-5637-4AC8-BF7C-6CD9B40F9473}">
  <dimension ref="A1:N201"/>
  <sheetViews>
    <sheetView zoomScale="80" workbookViewId="0">
      <selection activeCell="A201" sqref="A201"/>
    </sheetView>
  </sheetViews>
  <sheetFormatPr defaultRowHeight="14.4" x14ac:dyDescent="0.3"/>
  <cols>
    <col min="1" max="1" width="9" customWidth="1"/>
    <col min="3" max="3" width="12.21875" customWidth="1"/>
    <col min="4" max="4" width="13.21875" customWidth="1"/>
    <col min="5" max="5" width="16" customWidth="1"/>
    <col min="6" max="6" width="21" customWidth="1"/>
    <col min="7" max="7" width="9" bestFit="1" customWidth="1"/>
    <col min="8" max="8" width="12.5546875" customWidth="1"/>
    <col min="9" max="9" width="11.77734375" customWidth="1"/>
    <col min="10" max="10" width="14.77734375" customWidth="1"/>
    <col min="11" max="11" width="11.109375" bestFit="1" customWidth="1"/>
    <col min="12" max="12" width="17.77734375" customWidth="1"/>
    <col min="13" max="13" width="19.44140625" customWidth="1"/>
    <col min="14" max="14" width="18.21875" customWidth="1"/>
  </cols>
  <sheetData>
    <row r="1" spans="1:14" x14ac:dyDescent="0.3">
      <c r="A1" t="s">
        <v>23</v>
      </c>
      <c r="B1" t="s">
        <v>22</v>
      </c>
      <c r="C1" t="s">
        <v>21</v>
      </c>
      <c r="D1" t="s">
        <v>20</v>
      </c>
      <c r="E1" t="s">
        <v>19</v>
      </c>
      <c r="F1" t="s">
        <v>18</v>
      </c>
      <c r="G1" t="s">
        <v>17</v>
      </c>
      <c r="H1" t="s">
        <v>16</v>
      </c>
      <c r="I1" t="s">
        <v>15</v>
      </c>
      <c r="J1" t="s">
        <v>14</v>
      </c>
      <c r="K1" t="s">
        <v>13</v>
      </c>
      <c r="L1" t="s">
        <v>12</v>
      </c>
      <c r="M1" t="s">
        <v>11</v>
      </c>
      <c r="N1" t="s">
        <v>10</v>
      </c>
    </row>
    <row r="2" spans="1:14" x14ac:dyDescent="0.3">
      <c r="A2">
        <v>1</v>
      </c>
      <c r="B2">
        <v>38</v>
      </c>
      <c r="C2">
        <v>20.3</v>
      </c>
      <c r="D2" t="s">
        <v>5</v>
      </c>
      <c r="E2" t="s">
        <v>4</v>
      </c>
      <c r="F2">
        <v>15</v>
      </c>
      <c r="G2" t="s">
        <v>9</v>
      </c>
      <c r="H2" t="s">
        <v>1</v>
      </c>
      <c r="I2">
        <v>1.8</v>
      </c>
      <c r="J2">
        <v>9</v>
      </c>
      <c r="K2" t="s">
        <v>2</v>
      </c>
      <c r="L2" t="s">
        <v>1</v>
      </c>
      <c r="M2" t="s">
        <v>6</v>
      </c>
      <c r="N2" t="s">
        <v>0</v>
      </c>
    </row>
    <row r="3" spans="1:14" x14ac:dyDescent="0.3">
      <c r="A3">
        <v>2</v>
      </c>
      <c r="B3">
        <v>18</v>
      </c>
      <c r="C3">
        <v>20</v>
      </c>
      <c r="D3" t="s">
        <v>0</v>
      </c>
      <c r="E3" t="s">
        <v>4</v>
      </c>
      <c r="F3">
        <v>60</v>
      </c>
      <c r="G3" t="s">
        <v>9</v>
      </c>
      <c r="H3" t="s">
        <v>1</v>
      </c>
      <c r="I3">
        <v>3.1</v>
      </c>
      <c r="J3">
        <v>9</v>
      </c>
      <c r="K3" t="s">
        <v>6</v>
      </c>
      <c r="L3" t="s">
        <v>2</v>
      </c>
      <c r="M3" t="s">
        <v>6</v>
      </c>
      <c r="N3" t="s">
        <v>5</v>
      </c>
    </row>
    <row r="4" spans="1:14" x14ac:dyDescent="0.3">
      <c r="A4">
        <v>3</v>
      </c>
      <c r="B4">
        <v>18</v>
      </c>
      <c r="C4">
        <v>31</v>
      </c>
      <c r="D4" t="s">
        <v>0</v>
      </c>
      <c r="E4" t="s">
        <v>8</v>
      </c>
      <c r="F4">
        <v>30</v>
      </c>
      <c r="G4" t="s">
        <v>7</v>
      </c>
      <c r="H4" t="s">
        <v>2</v>
      </c>
      <c r="I4">
        <v>2</v>
      </c>
      <c r="J4">
        <v>7</v>
      </c>
      <c r="K4" t="s">
        <v>2</v>
      </c>
      <c r="L4" t="s">
        <v>2</v>
      </c>
      <c r="M4" t="s">
        <v>6</v>
      </c>
      <c r="N4" t="s">
        <v>0</v>
      </c>
    </row>
    <row r="5" spans="1:14" x14ac:dyDescent="0.3">
      <c r="A5">
        <v>4</v>
      </c>
      <c r="B5">
        <v>29</v>
      </c>
      <c r="C5">
        <v>32.5</v>
      </c>
      <c r="D5" t="s">
        <v>5</v>
      </c>
      <c r="E5" t="s">
        <v>4</v>
      </c>
      <c r="F5">
        <v>45</v>
      </c>
      <c r="G5" t="s">
        <v>3</v>
      </c>
      <c r="H5" t="s">
        <v>2</v>
      </c>
      <c r="I5">
        <v>3.9</v>
      </c>
      <c r="J5">
        <v>8</v>
      </c>
      <c r="K5" t="s">
        <v>2</v>
      </c>
      <c r="L5" t="s">
        <v>1</v>
      </c>
      <c r="M5" t="s">
        <v>6</v>
      </c>
      <c r="N5" t="s">
        <v>5</v>
      </c>
    </row>
    <row r="6" spans="1:14" x14ac:dyDescent="0.3">
      <c r="A6">
        <v>5</v>
      </c>
      <c r="B6">
        <v>36</v>
      </c>
      <c r="C6">
        <v>21.7</v>
      </c>
      <c r="D6" t="s">
        <v>0</v>
      </c>
      <c r="E6" t="s">
        <v>4</v>
      </c>
      <c r="F6">
        <v>15</v>
      </c>
      <c r="G6" t="s">
        <v>7</v>
      </c>
      <c r="H6" t="s">
        <v>2</v>
      </c>
      <c r="I6">
        <v>3.6</v>
      </c>
      <c r="J6">
        <v>5</v>
      </c>
      <c r="K6" t="s">
        <v>6</v>
      </c>
      <c r="L6" t="s">
        <v>6</v>
      </c>
      <c r="M6" t="s">
        <v>6</v>
      </c>
      <c r="N6" t="s">
        <v>5</v>
      </c>
    </row>
    <row r="7" spans="1:14" x14ac:dyDescent="0.3">
      <c r="A7">
        <v>6</v>
      </c>
      <c r="B7">
        <v>23</v>
      </c>
      <c r="C7">
        <v>24.6</v>
      </c>
      <c r="D7" t="s">
        <v>0</v>
      </c>
      <c r="E7" t="s">
        <v>8</v>
      </c>
      <c r="F7">
        <v>0</v>
      </c>
      <c r="G7" t="s">
        <v>3</v>
      </c>
      <c r="H7" t="s">
        <v>1</v>
      </c>
      <c r="I7">
        <v>1.9</v>
      </c>
      <c r="J7">
        <v>6</v>
      </c>
      <c r="K7" t="s">
        <v>2</v>
      </c>
      <c r="L7" t="s">
        <v>6</v>
      </c>
      <c r="M7" t="s">
        <v>6</v>
      </c>
      <c r="N7" t="s">
        <v>5</v>
      </c>
    </row>
    <row r="8" spans="1:14" x14ac:dyDescent="0.3">
      <c r="A8">
        <v>7</v>
      </c>
      <c r="B8">
        <v>38</v>
      </c>
      <c r="C8">
        <v>29.9</v>
      </c>
      <c r="D8" t="s">
        <v>0</v>
      </c>
      <c r="E8" t="s">
        <v>8</v>
      </c>
      <c r="F8">
        <v>0</v>
      </c>
      <c r="G8" t="s">
        <v>9</v>
      </c>
      <c r="H8" t="s">
        <v>2</v>
      </c>
      <c r="I8">
        <v>3.5</v>
      </c>
      <c r="J8">
        <v>8</v>
      </c>
      <c r="K8" t="s">
        <v>6</v>
      </c>
      <c r="L8" t="s">
        <v>2</v>
      </c>
      <c r="M8" t="s">
        <v>2</v>
      </c>
      <c r="N8" t="s">
        <v>5</v>
      </c>
    </row>
    <row r="9" spans="1:14" x14ac:dyDescent="0.3">
      <c r="A9">
        <v>8</v>
      </c>
      <c r="B9">
        <v>24</v>
      </c>
      <c r="C9">
        <v>29.3</v>
      </c>
      <c r="D9" t="s">
        <v>5</v>
      </c>
      <c r="E9" t="s">
        <v>8</v>
      </c>
      <c r="F9">
        <v>15</v>
      </c>
      <c r="G9" t="s">
        <v>7</v>
      </c>
      <c r="H9" t="s">
        <v>2</v>
      </c>
      <c r="I9">
        <v>2.1</v>
      </c>
      <c r="J9">
        <v>9</v>
      </c>
      <c r="K9" t="s">
        <v>1</v>
      </c>
      <c r="L9" t="s">
        <v>6</v>
      </c>
      <c r="M9" t="s">
        <v>1</v>
      </c>
      <c r="N9" t="s">
        <v>5</v>
      </c>
    </row>
    <row r="10" spans="1:14" x14ac:dyDescent="0.3">
      <c r="A10">
        <v>9</v>
      </c>
      <c r="B10">
        <v>36</v>
      </c>
      <c r="C10">
        <v>25.1</v>
      </c>
      <c r="D10" t="s">
        <v>0</v>
      </c>
      <c r="E10" t="s">
        <v>4</v>
      </c>
      <c r="F10">
        <v>60</v>
      </c>
      <c r="G10" t="s">
        <v>7</v>
      </c>
      <c r="H10" t="s">
        <v>2</v>
      </c>
      <c r="I10">
        <v>3.4</v>
      </c>
      <c r="J10">
        <v>5</v>
      </c>
      <c r="K10" t="s">
        <v>2</v>
      </c>
      <c r="L10" t="s">
        <v>1</v>
      </c>
      <c r="M10" t="s">
        <v>2</v>
      </c>
      <c r="N10" t="s">
        <v>5</v>
      </c>
    </row>
    <row r="11" spans="1:14" x14ac:dyDescent="0.3">
      <c r="A11">
        <v>10</v>
      </c>
      <c r="B11">
        <v>37</v>
      </c>
      <c r="C11">
        <v>19.5</v>
      </c>
      <c r="D11" t="s">
        <v>5</v>
      </c>
      <c r="E11" t="s">
        <v>8</v>
      </c>
      <c r="F11">
        <v>60</v>
      </c>
      <c r="G11" t="s">
        <v>7</v>
      </c>
      <c r="H11" t="s">
        <v>1</v>
      </c>
      <c r="I11">
        <v>3.7</v>
      </c>
      <c r="J11">
        <v>5</v>
      </c>
      <c r="K11" t="s">
        <v>1</v>
      </c>
      <c r="L11" t="s">
        <v>1</v>
      </c>
      <c r="M11" t="s">
        <v>2</v>
      </c>
      <c r="N11" t="s">
        <v>5</v>
      </c>
    </row>
    <row r="12" spans="1:14" x14ac:dyDescent="0.3">
      <c r="A12">
        <v>11</v>
      </c>
      <c r="B12">
        <v>38</v>
      </c>
      <c r="C12">
        <v>24.1</v>
      </c>
      <c r="D12" t="s">
        <v>5</v>
      </c>
      <c r="E12" t="s">
        <v>8</v>
      </c>
      <c r="F12">
        <v>15</v>
      </c>
      <c r="G12" t="s">
        <v>7</v>
      </c>
      <c r="H12" t="s">
        <v>2</v>
      </c>
      <c r="I12">
        <v>3.9</v>
      </c>
      <c r="J12">
        <v>7</v>
      </c>
      <c r="K12" t="s">
        <v>1</v>
      </c>
      <c r="L12" t="s">
        <v>2</v>
      </c>
      <c r="M12" t="s">
        <v>1</v>
      </c>
      <c r="N12" t="s">
        <v>0</v>
      </c>
    </row>
    <row r="13" spans="1:14" x14ac:dyDescent="0.3">
      <c r="A13">
        <v>12</v>
      </c>
      <c r="B13">
        <v>38</v>
      </c>
      <c r="C13">
        <v>23.4</v>
      </c>
      <c r="D13" t="s">
        <v>0</v>
      </c>
      <c r="E13" t="s">
        <v>4</v>
      </c>
      <c r="F13">
        <v>30</v>
      </c>
      <c r="G13" t="s">
        <v>9</v>
      </c>
      <c r="H13" t="s">
        <v>1</v>
      </c>
      <c r="I13">
        <v>3.9</v>
      </c>
      <c r="J13">
        <v>9</v>
      </c>
      <c r="K13" t="s">
        <v>2</v>
      </c>
      <c r="L13" t="s">
        <v>1</v>
      </c>
      <c r="M13" t="s">
        <v>6</v>
      </c>
      <c r="N13" t="s">
        <v>5</v>
      </c>
    </row>
    <row r="14" spans="1:14" x14ac:dyDescent="0.3">
      <c r="A14">
        <v>13</v>
      </c>
      <c r="B14">
        <v>18</v>
      </c>
      <c r="C14">
        <v>20.3</v>
      </c>
      <c r="D14" t="s">
        <v>5</v>
      </c>
      <c r="E14" t="s">
        <v>8</v>
      </c>
      <c r="F14">
        <v>15</v>
      </c>
      <c r="G14" t="s">
        <v>9</v>
      </c>
      <c r="H14" t="s">
        <v>2</v>
      </c>
      <c r="I14">
        <v>3.7</v>
      </c>
      <c r="J14">
        <v>5</v>
      </c>
      <c r="K14" t="s">
        <v>2</v>
      </c>
      <c r="L14" t="s">
        <v>1</v>
      </c>
      <c r="M14" t="s">
        <v>6</v>
      </c>
      <c r="N14" t="s">
        <v>0</v>
      </c>
    </row>
    <row r="15" spans="1:14" x14ac:dyDescent="0.3">
      <c r="A15">
        <v>14</v>
      </c>
      <c r="B15">
        <v>35</v>
      </c>
      <c r="C15">
        <v>31.1</v>
      </c>
      <c r="D15" t="s">
        <v>0</v>
      </c>
      <c r="E15" t="s">
        <v>8</v>
      </c>
      <c r="F15">
        <v>60</v>
      </c>
      <c r="G15" t="s">
        <v>9</v>
      </c>
      <c r="H15" t="s">
        <v>6</v>
      </c>
      <c r="I15">
        <v>2.8</v>
      </c>
      <c r="J15">
        <v>9</v>
      </c>
      <c r="K15" t="s">
        <v>6</v>
      </c>
      <c r="L15" t="s">
        <v>2</v>
      </c>
      <c r="M15" t="s">
        <v>1</v>
      </c>
      <c r="N15" t="s">
        <v>0</v>
      </c>
    </row>
    <row r="16" spans="1:14" x14ac:dyDescent="0.3">
      <c r="A16">
        <v>15</v>
      </c>
      <c r="B16">
        <v>40</v>
      </c>
      <c r="C16">
        <v>23.6</v>
      </c>
      <c r="D16" t="s">
        <v>5</v>
      </c>
      <c r="E16" t="s">
        <v>8</v>
      </c>
      <c r="F16">
        <v>60</v>
      </c>
      <c r="G16" t="s">
        <v>7</v>
      </c>
      <c r="H16" t="s">
        <v>2</v>
      </c>
      <c r="I16">
        <v>2.1</v>
      </c>
      <c r="J16">
        <v>5</v>
      </c>
      <c r="K16" t="s">
        <v>6</v>
      </c>
      <c r="L16" t="s">
        <v>2</v>
      </c>
      <c r="M16" t="s">
        <v>1</v>
      </c>
      <c r="N16" t="s">
        <v>0</v>
      </c>
    </row>
    <row r="17" spans="1:14" x14ac:dyDescent="0.3">
      <c r="A17">
        <v>16</v>
      </c>
      <c r="B17">
        <v>36</v>
      </c>
      <c r="C17">
        <v>22.1</v>
      </c>
      <c r="D17" t="s">
        <v>0</v>
      </c>
      <c r="E17" t="s">
        <v>4</v>
      </c>
      <c r="F17">
        <v>15</v>
      </c>
      <c r="G17" t="s">
        <v>9</v>
      </c>
      <c r="H17" t="s">
        <v>2</v>
      </c>
      <c r="I17">
        <v>3.6</v>
      </c>
      <c r="J17">
        <v>5</v>
      </c>
      <c r="K17" t="s">
        <v>1</v>
      </c>
      <c r="L17" t="s">
        <v>2</v>
      </c>
      <c r="M17" t="s">
        <v>6</v>
      </c>
      <c r="N17" t="s">
        <v>5</v>
      </c>
    </row>
    <row r="18" spans="1:14" x14ac:dyDescent="0.3">
      <c r="A18">
        <v>17</v>
      </c>
      <c r="B18">
        <v>24</v>
      </c>
      <c r="C18">
        <v>27.4</v>
      </c>
      <c r="D18" t="s">
        <v>5</v>
      </c>
      <c r="E18" t="s">
        <v>4</v>
      </c>
      <c r="F18">
        <v>45</v>
      </c>
      <c r="G18" t="s">
        <v>7</v>
      </c>
      <c r="H18" t="s">
        <v>2</v>
      </c>
      <c r="I18">
        <v>1.7</v>
      </c>
      <c r="J18">
        <v>8</v>
      </c>
      <c r="K18" t="s">
        <v>6</v>
      </c>
      <c r="L18" t="s">
        <v>6</v>
      </c>
      <c r="M18" t="s">
        <v>6</v>
      </c>
      <c r="N18" t="s">
        <v>5</v>
      </c>
    </row>
    <row r="19" spans="1:14" x14ac:dyDescent="0.3">
      <c r="A19">
        <v>18</v>
      </c>
      <c r="B19">
        <v>19</v>
      </c>
      <c r="C19">
        <v>29.6</v>
      </c>
      <c r="D19" t="s">
        <v>0</v>
      </c>
      <c r="E19" t="s">
        <v>4</v>
      </c>
      <c r="F19">
        <v>45</v>
      </c>
      <c r="G19" t="s">
        <v>3</v>
      </c>
      <c r="H19" t="s">
        <v>6</v>
      </c>
      <c r="I19">
        <v>3.5</v>
      </c>
      <c r="J19">
        <v>5</v>
      </c>
      <c r="K19" t="s">
        <v>2</v>
      </c>
      <c r="L19" t="s">
        <v>2</v>
      </c>
      <c r="M19" t="s">
        <v>2</v>
      </c>
      <c r="N19" t="s">
        <v>5</v>
      </c>
    </row>
    <row r="20" spans="1:14" x14ac:dyDescent="0.3">
      <c r="A20">
        <v>19</v>
      </c>
      <c r="B20">
        <v>22</v>
      </c>
      <c r="C20">
        <v>25.5</v>
      </c>
      <c r="D20" t="s">
        <v>5</v>
      </c>
      <c r="E20" t="s">
        <v>8</v>
      </c>
      <c r="F20">
        <v>15</v>
      </c>
      <c r="G20" t="s">
        <v>9</v>
      </c>
      <c r="H20" t="s">
        <v>6</v>
      </c>
      <c r="I20">
        <v>3.5</v>
      </c>
      <c r="J20">
        <v>9</v>
      </c>
      <c r="K20" t="s">
        <v>2</v>
      </c>
      <c r="L20" t="s">
        <v>2</v>
      </c>
      <c r="M20" t="s">
        <v>1</v>
      </c>
      <c r="N20" t="s">
        <v>0</v>
      </c>
    </row>
    <row r="21" spans="1:14" x14ac:dyDescent="0.3">
      <c r="A21">
        <v>20</v>
      </c>
      <c r="B21">
        <v>20</v>
      </c>
      <c r="C21">
        <v>33.799999999999997</v>
      </c>
      <c r="D21" t="s">
        <v>0</v>
      </c>
      <c r="E21" t="s">
        <v>4</v>
      </c>
      <c r="F21">
        <v>45</v>
      </c>
      <c r="G21" t="s">
        <v>7</v>
      </c>
      <c r="H21" t="s">
        <v>6</v>
      </c>
      <c r="I21">
        <v>2</v>
      </c>
      <c r="J21">
        <v>8</v>
      </c>
      <c r="K21" t="s">
        <v>2</v>
      </c>
      <c r="L21" t="s">
        <v>2</v>
      </c>
      <c r="M21" t="s">
        <v>6</v>
      </c>
      <c r="N21" t="s">
        <v>0</v>
      </c>
    </row>
    <row r="22" spans="1:14" x14ac:dyDescent="0.3">
      <c r="A22">
        <v>21</v>
      </c>
      <c r="B22">
        <v>30</v>
      </c>
      <c r="C22">
        <v>22.9</v>
      </c>
      <c r="D22" t="s">
        <v>5</v>
      </c>
      <c r="E22" t="s">
        <v>8</v>
      </c>
      <c r="F22">
        <v>45</v>
      </c>
      <c r="G22" t="s">
        <v>3</v>
      </c>
      <c r="H22" t="s">
        <v>1</v>
      </c>
      <c r="I22">
        <v>4</v>
      </c>
      <c r="J22">
        <v>9</v>
      </c>
      <c r="K22" t="s">
        <v>1</v>
      </c>
      <c r="L22" t="s">
        <v>1</v>
      </c>
      <c r="M22" t="s">
        <v>6</v>
      </c>
      <c r="N22" t="s">
        <v>0</v>
      </c>
    </row>
    <row r="23" spans="1:14" x14ac:dyDescent="0.3">
      <c r="A23">
        <v>22</v>
      </c>
      <c r="B23">
        <v>24</v>
      </c>
      <c r="C23">
        <v>23.4</v>
      </c>
      <c r="D23" t="s">
        <v>0</v>
      </c>
      <c r="E23" t="s">
        <v>4</v>
      </c>
      <c r="F23">
        <v>30</v>
      </c>
      <c r="G23" t="s">
        <v>9</v>
      </c>
      <c r="H23" t="s">
        <v>2</v>
      </c>
      <c r="I23">
        <v>3</v>
      </c>
      <c r="J23">
        <v>9</v>
      </c>
      <c r="K23" t="s">
        <v>1</v>
      </c>
      <c r="L23" t="s">
        <v>2</v>
      </c>
      <c r="M23" t="s">
        <v>2</v>
      </c>
      <c r="N23" t="s">
        <v>0</v>
      </c>
    </row>
    <row r="24" spans="1:14" x14ac:dyDescent="0.3">
      <c r="A24">
        <v>23</v>
      </c>
      <c r="B24">
        <v>23</v>
      </c>
      <c r="C24">
        <v>19.600000000000001</v>
      </c>
      <c r="D24" t="s">
        <v>0</v>
      </c>
      <c r="E24" t="s">
        <v>4</v>
      </c>
      <c r="F24">
        <v>45</v>
      </c>
      <c r="G24" t="s">
        <v>9</v>
      </c>
      <c r="H24" t="s">
        <v>1</v>
      </c>
      <c r="I24">
        <v>2.1</v>
      </c>
      <c r="J24">
        <v>9</v>
      </c>
      <c r="K24" t="s">
        <v>2</v>
      </c>
      <c r="L24" t="s">
        <v>1</v>
      </c>
      <c r="M24" t="s">
        <v>2</v>
      </c>
      <c r="N24" t="s">
        <v>5</v>
      </c>
    </row>
    <row r="25" spans="1:14" x14ac:dyDescent="0.3">
      <c r="A25">
        <v>24</v>
      </c>
      <c r="B25">
        <v>39</v>
      </c>
      <c r="C25">
        <v>28.1</v>
      </c>
      <c r="D25" t="s">
        <v>5</v>
      </c>
      <c r="E25" t="s">
        <v>8</v>
      </c>
      <c r="F25">
        <v>15</v>
      </c>
      <c r="G25" t="s">
        <v>3</v>
      </c>
      <c r="H25" t="s">
        <v>1</v>
      </c>
      <c r="I25">
        <v>2.2999999999999998</v>
      </c>
      <c r="J25">
        <v>7</v>
      </c>
      <c r="K25" t="s">
        <v>6</v>
      </c>
      <c r="L25" t="s">
        <v>2</v>
      </c>
      <c r="M25" t="s">
        <v>1</v>
      </c>
      <c r="N25" t="s">
        <v>5</v>
      </c>
    </row>
    <row r="26" spans="1:14" x14ac:dyDescent="0.3">
      <c r="A26">
        <v>25</v>
      </c>
      <c r="B26">
        <v>32</v>
      </c>
      <c r="C26">
        <v>23.7</v>
      </c>
      <c r="D26" t="s">
        <v>0</v>
      </c>
      <c r="E26" t="s">
        <v>4</v>
      </c>
      <c r="F26">
        <v>45</v>
      </c>
      <c r="G26" t="s">
        <v>3</v>
      </c>
      <c r="H26" t="s">
        <v>1</v>
      </c>
      <c r="I26">
        <v>4</v>
      </c>
      <c r="J26">
        <v>5</v>
      </c>
      <c r="K26" t="s">
        <v>1</v>
      </c>
      <c r="L26" t="s">
        <v>2</v>
      </c>
      <c r="M26" t="s">
        <v>1</v>
      </c>
      <c r="N26" t="s">
        <v>5</v>
      </c>
    </row>
    <row r="27" spans="1:14" x14ac:dyDescent="0.3">
      <c r="A27">
        <v>26</v>
      </c>
      <c r="B27">
        <v>22</v>
      </c>
      <c r="C27">
        <v>33.9</v>
      </c>
      <c r="D27" t="s">
        <v>0</v>
      </c>
      <c r="E27" t="s">
        <v>4</v>
      </c>
      <c r="F27">
        <v>30</v>
      </c>
      <c r="G27" t="s">
        <v>7</v>
      </c>
      <c r="H27" t="s">
        <v>2</v>
      </c>
      <c r="I27">
        <v>2.6</v>
      </c>
      <c r="J27">
        <v>9</v>
      </c>
      <c r="K27" t="s">
        <v>1</v>
      </c>
      <c r="L27" t="s">
        <v>6</v>
      </c>
      <c r="M27" t="s">
        <v>1</v>
      </c>
      <c r="N27" t="s">
        <v>0</v>
      </c>
    </row>
    <row r="28" spans="1:14" x14ac:dyDescent="0.3">
      <c r="A28">
        <v>27</v>
      </c>
      <c r="B28">
        <v>39</v>
      </c>
      <c r="C28">
        <v>32</v>
      </c>
      <c r="D28" t="s">
        <v>5</v>
      </c>
      <c r="E28" t="s">
        <v>4</v>
      </c>
      <c r="F28">
        <v>15</v>
      </c>
      <c r="G28" t="s">
        <v>7</v>
      </c>
      <c r="H28" t="s">
        <v>2</v>
      </c>
      <c r="I28">
        <v>3.7</v>
      </c>
      <c r="J28">
        <v>9</v>
      </c>
      <c r="K28" t="s">
        <v>2</v>
      </c>
      <c r="L28" t="s">
        <v>6</v>
      </c>
      <c r="M28" t="s">
        <v>6</v>
      </c>
      <c r="N28" t="s">
        <v>0</v>
      </c>
    </row>
    <row r="29" spans="1:14" x14ac:dyDescent="0.3">
      <c r="A29">
        <v>28</v>
      </c>
      <c r="B29">
        <v>40</v>
      </c>
      <c r="C29">
        <v>24.2</v>
      </c>
      <c r="D29" t="s">
        <v>5</v>
      </c>
      <c r="E29" t="s">
        <v>8</v>
      </c>
      <c r="F29">
        <v>30</v>
      </c>
      <c r="G29" t="s">
        <v>9</v>
      </c>
      <c r="H29" t="s">
        <v>2</v>
      </c>
      <c r="I29">
        <v>3.1</v>
      </c>
      <c r="J29">
        <v>7</v>
      </c>
      <c r="K29" t="s">
        <v>2</v>
      </c>
      <c r="L29" t="s">
        <v>2</v>
      </c>
      <c r="M29" t="s">
        <v>6</v>
      </c>
      <c r="N29" t="s">
        <v>0</v>
      </c>
    </row>
    <row r="30" spans="1:14" x14ac:dyDescent="0.3">
      <c r="A30">
        <v>29</v>
      </c>
      <c r="B30">
        <v>38</v>
      </c>
      <c r="C30">
        <v>34.700000000000003</v>
      </c>
      <c r="D30" t="s">
        <v>0</v>
      </c>
      <c r="E30" t="s">
        <v>8</v>
      </c>
      <c r="F30">
        <v>60</v>
      </c>
      <c r="G30" t="s">
        <v>3</v>
      </c>
      <c r="H30" t="s">
        <v>6</v>
      </c>
      <c r="I30">
        <v>2.9</v>
      </c>
      <c r="J30">
        <v>5</v>
      </c>
      <c r="K30" t="s">
        <v>2</v>
      </c>
      <c r="L30" t="s">
        <v>1</v>
      </c>
      <c r="M30" t="s">
        <v>2</v>
      </c>
      <c r="N30" t="s">
        <v>0</v>
      </c>
    </row>
    <row r="31" spans="1:14" x14ac:dyDescent="0.3">
      <c r="A31">
        <v>30</v>
      </c>
      <c r="B31">
        <v>29</v>
      </c>
      <c r="C31">
        <v>28.1</v>
      </c>
      <c r="D31" t="s">
        <v>0</v>
      </c>
      <c r="E31" t="s">
        <v>8</v>
      </c>
      <c r="F31">
        <v>15</v>
      </c>
      <c r="G31" t="s">
        <v>9</v>
      </c>
      <c r="H31" t="s">
        <v>6</v>
      </c>
      <c r="I31">
        <v>2.4</v>
      </c>
      <c r="J31">
        <v>5</v>
      </c>
      <c r="K31" t="s">
        <v>6</v>
      </c>
      <c r="L31" t="s">
        <v>2</v>
      </c>
      <c r="M31" t="s">
        <v>1</v>
      </c>
      <c r="N31" t="s">
        <v>0</v>
      </c>
    </row>
    <row r="32" spans="1:14" x14ac:dyDescent="0.3">
      <c r="A32">
        <v>31</v>
      </c>
      <c r="B32">
        <v>39</v>
      </c>
      <c r="C32">
        <v>20.2</v>
      </c>
      <c r="D32" t="s">
        <v>5</v>
      </c>
      <c r="E32" t="s">
        <v>4</v>
      </c>
      <c r="F32">
        <v>15</v>
      </c>
      <c r="G32" t="s">
        <v>9</v>
      </c>
      <c r="H32" t="s">
        <v>2</v>
      </c>
      <c r="I32">
        <v>3.7</v>
      </c>
      <c r="J32">
        <v>5</v>
      </c>
      <c r="K32" t="s">
        <v>2</v>
      </c>
      <c r="L32" t="s">
        <v>1</v>
      </c>
      <c r="M32" t="s">
        <v>6</v>
      </c>
      <c r="N32" t="s">
        <v>5</v>
      </c>
    </row>
    <row r="33" spans="1:14" x14ac:dyDescent="0.3">
      <c r="A33">
        <v>32</v>
      </c>
      <c r="B33">
        <v>39</v>
      </c>
      <c r="C33">
        <v>32.799999999999997</v>
      </c>
      <c r="D33" t="s">
        <v>0</v>
      </c>
      <c r="E33" t="s">
        <v>8</v>
      </c>
      <c r="F33">
        <v>15</v>
      </c>
      <c r="G33" t="s">
        <v>3</v>
      </c>
      <c r="H33" t="s">
        <v>2</v>
      </c>
      <c r="I33">
        <v>2.5</v>
      </c>
      <c r="J33">
        <v>5</v>
      </c>
      <c r="K33" t="s">
        <v>6</v>
      </c>
      <c r="L33" t="s">
        <v>2</v>
      </c>
      <c r="M33" t="s">
        <v>2</v>
      </c>
      <c r="N33" t="s">
        <v>5</v>
      </c>
    </row>
    <row r="34" spans="1:14" x14ac:dyDescent="0.3">
      <c r="A34">
        <v>33</v>
      </c>
      <c r="B34">
        <v>29</v>
      </c>
      <c r="C34">
        <v>23.5</v>
      </c>
      <c r="D34" t="s">
        <v>0</v>
      </c>
      <c r="E34" t="s">
        <v>4</v>
      </c>
      <c r="F34">
        <v>0</v>
      </c>
      <c r="G34" t="s">
        <v>3</v>
      </c>
      <c r="H34" t="s">
        <v>2</v>
      </c>
      <c r="I34">
        <v>2.5</v>
      </c>
      <c r="J34">
        <v>7</v>
      </c>
      <c r="K34" t="s">
        <v>2</v>
      </c>
      <c r="L34" t="s">
        <v>6</v>
      </c>
      <c r="M34" t="s">
        <v>6</v>
      </c>
      <c r="N34" t="s">
        <v>5</v>
      </c>
    </row>
    <row r="35" spans="1:14" x14ac:dyDescent="0.3">
      <c r="A35">
        <v>34</v>
      </c>
      <c r="B35">
        <v>39</v>
      </c>
      <c r="C35">
        <v>34.700000000000003</v>
      </c>
      <c r="D35" t="s">
        <v>5</v>
      </c>
      <c r="E35" t="s">
        <v>4</v>
      </c>
      <c r="F35">
        <v>0</v>
      </c>
      <c r="G35" t="s">
        <v>7</v>
      </c>
      <c r="H35" t="s">
        <v>2</v>
      </c>
      <c r="I35">
        <v>3</v>
      </c>
      <c r="J35">
        <v>7</v>
      </c>
      <c r="K35" t="s">
        <v>2</v>
      </c>
      <c r="L35" t="s">
        <v>2</v>
      </c>
      <c r="M35" t="s">
        <v>1</v>
      </c>
      <c r="N35" t="s">
        <v>5</v>
      </c>
    </row>
    <row r="36" spans="1:14" x14ac:dyDescent="0.3">
      <c r="A36">
        <v>35</v>
      </c>
      <c r="B36">
        <v>29</v>
      </c>
      <c r="C36">
        <v>30.5</v>
      </c>
      <c r="D36" t="s">
        <v>5</v>
      </c>
      <c r="E36" t="s">
        <v>8</v>
      </c>
      <c r="F36">
        <v>60</v>
      </c>
      <c r="G36" t="s">
        <v>3</v>
      </c>
      <c r="H36" t="s">
        <v>2</v>
      </c>
      <c r="I36">
        <v>2.5</v>
      </c>
      <c r="J36">
        <v>9</v>
      </c>
      <c r="K36" t="s">
        <v>2</v>
      </c>
      <c r="L36" t="s">
        <v>6</v>
      </c>
      <c r="M36" t="s">
        <v>2</v>
      </c>
      <c r="N36" t="s">
        <v>5</v>
      </c>
    </row>
    <row r="37" spans="1:14" x14ac:dyDescent="0.3">
      <c r="A37">
        <v>36</v>
      </c>
      <c r="B37">
        <v>18</v>
      </c>
      <c r="C37">
        <v>27.1</v>
      </c>
      <c r="D37" t="s">
        <v>0</v>
      </c>
      <c r="E37" t="s">
        <v>8</v>
      </c>
      <c r="F37">
        <v>45</v>
      </c>
      <c r="G37" t="s">
        <v>9</v>
      </c>
      <c r="H37" t="s">
        <v>1</v>
      </c>
      <c r="I37">
        <v>3.8</v>
      </c>
      <c r="J37">
        <v>9</v>
      </c>
      <c r="K37" t="s">
        <v>6</v>
      </c>
      <c r="L37" t="s">
        <v>1</v>
      </c>
      <c r="M37" t="s">
        <v>2</v>
      </c>
      <c r="N37" t="s">
        <v>5</v>
      </c>
    </row>
    <row r="38" spans="1:14" x14ac:dyDescent="0.3">
      <c r="A38">
        <v>37</v>
      </c>
      <c r="B38">
        <v>34</v>
      </c>
      <c r="C38">
        <v>23.6</v>
      </c>
      <c r="D38" t="s">
        <v>5</v>
      </c>
      <c r="E38" t="s">
        <v>8</v>
      </c>
      <c r="F38">
        <v>45</v>
      </c>
      <c r="G38" t="s">
        <v>3</v>
      </c>
      <c r="H38" t="s">
        <v>6</v>
      </c>
      <c r="I38">
        <v>2.9</v>
      </c>
      <c r="J38">
        <v>6</v>
      </c>
      <c r="K38" t="s">
        <v>6</v>
      </c>
      <c r="L38" t="s">
        <v>1</v>
      </c>
      <c r="M38" t="s">
        <v>6</v>
      </c>
      <c r="N38" t="s">
        <v>0</v>
      </c>
    </row>
    <row r="39" spans="1:14" x14ac:dyDescent="0.3">
      <c r="A39">
        <v>38</v>
      </c>
      <c r="B39">
        <v>37</v>
      </c>
      <c r="C39">
        <v>27.9</v>
      </c>
      <c r="D39" t="s">
        <v>5</v>
      </c>
      <c r="E39" t="s">
        <v>4</v>
      </c>
      <c r="F39">
        <v>30</v>
      </c>
      <c r="G39" t="s">
        <v>7</v>
      </c>
      <c r="H39" t="s">
        <v>2</v>
      </c>
      <c r="I39">
        <v>2.6</v>
      </c>
      <c r="J39">
        <v>9</v>
      </c>
      <c r="K39" t="s">
        <v>1</v>
      </c>
      <c r="L39" t="s">
        <v>1</v>
      </c>
      <c r="M39" t="s">
        <v>6</v>
      </c>
      <c r="N39" t="s">
        <v>5</v>
      </c>
    </row>
    <row r="40" spans="1:14" x14ac:dyDescent="0.3">
      <c r="A40">
        <v>39</v>
      </c>
      <c r="B40">
        <v>32</v>
      </c>
      <c r="C40">
        <v>25.8</v>
      </c>
      <c r="D40" t="s">
        <v>0</v>
      </c>
      <c r="E40" t="s">
        <v>8</v>
      </c>
      <c r="F40">
        <v>15</v>
      </c>
      <c r="G40" t="s">
        <v>3</v>
      </c>
      <c r="H40" t="s">
        <v>2</v>
      </c>
      <c r="I40">
        <v>2.2000000000000002</v>
      </c>
      <c r="J40">
        <v>9</v>
      </c>
      <c r="K40" t="s">
        <v>6</v>
      </c>
      <c r="L40" t="s">
        <v>2</v>
      </c>
      <c r="M40" t="s">
        <v>2</v>
      </c>
      <c r="N40" t="s">
        <v>5</v>
      </c>
    </row>
    <row r="41" spans="1:14" x14ac:dyDescent="0.3">
      <c r="A41">
        <v>40</v>
      </c>
      <c r="B41">
        <v>25</v>
      </c>
      <c r="C41">
        <v>31.8</v>
      </c>
      <c r="D41" t="s">
        <v>0</v>
      </c>
      <c r="E41" t="s">
        <v>4</v>
      </c>
      <c r="F41">
        <v>0</v>
      </c>
      <c r="G41" t="s">
        <v>9</v>
      </c>
      <c r="H41" t="s">
        <v>6</v>
      </c>
      <c r="I41">
        <v>3</v>
      </c>
      <c r="J41">
        <v>5</v>
      </c>
      <c r="K41" t="s">
        <v>6</v>
      </c>
      <c r="L41" t="s">
        <v>6</v>
      </c>
      <c r="M41" t="s">
        <v>1</v>
      </c>
      <c r="N41" t="s">
        <v>0</v>
      </c>
    </row>
    <row r="42" spans="1:14" x14ac:dyDescent="0.3">
      <c r="A42">
        <v>41</v>
      </c>
      <c r="B42">
        <v>40</v>
      </c>
      <c r="C42">
        <v>30</v>
      </c>
      <c r="D42" t="s">
        <v>5</v>
      </c>
      <c r="E42" t="s">
        <v>8</v>
      </c>
      <c r="F42">
        <v>15</v>
      </c>
      <c r="G42" t="s">
        <v>9</v>
      </c>
      <c r="H42" t="s">
        <v>1</v>
      </c>
      <c r="I42">
        <v>3.2</v>
      </c>
      <c r="J42">
        <v>5</v>
      </c>
      <c r="K42" t="s">
        <v>6</v>
      </c>
      <c r="L42" t="s">
        <v>2</v>
      </c>
      <c r="M42" t="s">
        <v>2</v>
      </c>
      <c r="N42" t="s">
        <v>5</v>
      </c>
    </row>
    <row r="43" spans="1:14" x14ac:dyDescent="0.3">
      <c r="A43">
        <v>42</v>
      </c>
      <c r="B43">
        <v>19</v>
      </c>
      <c r="C43">
        <v>27.7</v>
      </c>
      <c r="D43" t="s">
        <v>0</v>
      </c>
      <c r="E43" t="s">
        <v>8</v>
      </c>
      <c r="F43">
        <v>15</v>
      </c>
      <c r="G43" t="s">
        <v>7</v>
      </c>
      <c r="H43" t="s">
        <v>1</v>
      </c>
      <c r="I43">
        <v>2.8</v>
      </c>
      <c r="J43">
        <v>9</v>
      </c>
      <c r="K43" t="s">
        <v>1</v>
      </c>
      <c r="L43" t="s">
        <v>6</v>
      </c>
      <c r="M43" t="s">
        <v>6</v>
      </c>
      <c r="N43" t="s">
        <v>5</v>
      </c>
    </row>
    <row r="44" spans="1:14" x14ac:dyDescent="0.3">
      <c r="A44">
        <v>43</v>
      </c>
      <c r="B44">
        <v>35</v>
      </c>
      <c r="C44">
        <v>25.9</v>
      </c>
      <c r="D44" t="s">
        <v>0</v>
      </c>
      <c r="E44" t="s">
        <v>8</v>
      </c>
      <c r="F44">
        <v>45</v>
      </c>
      <c r="G44" t="s">
        <v>7</v>
      </c>
      <c r="H44" t="s">
        <v>2</v>
      </c>
      <c r="I44">
        <v>3.6</v>
      </c>
      <c r="J44">
        <v>7</v>
      </c>
      <c r="K44" t="s">
        <v>1</v>
      </c>
      <c r="L44" t="s">
        <v>6</v>
      </c>
      <c r="M44" t="s">
        <v>1</v>
      </c>
      <c r="N44" t="s">
        <v>0</v>
      </c>
    </row>
    <row r="45" spans="1:14" x14ac:dyDescent="0.3">
      <c r="A45">
        <v>44</v>
      </c>
      <c r="B45">
        <v>26</v>
      </c>
      <c r="C45">
        <v>25.8</v>
      </c>
      <c r="D45" t="s">
        <v>5</v>
      </c>
      <c r="E45" t="s">
        <v>4</v>
      </c>
      <c r="F45">
        <v>30</v>
      </c>
      <c r="G45" t="s">
        <v>7</v>
      </c>
      <c r="H45" t="s">
        <v>6</v>
      </c>
      <c r="I45">
        <v>3.7</v>
      </c>
      <c r="J45">
        <v>5</v>
      </c>
      <c r="K45" t="s">
        <v>2</v>
      </c>
      <c r="L45" t="s">
        <v>2</v>
      </c>
      <c r="M45" t="s">
        <v>2</v>
      </c>
      <c r="N45" t="s">
        <v>5</v>
      </c>
    </row>
    <row r="46" spans="1:14" x14ac:dyDescent="0.3">
      <c r="A46">
        <v>45</v>
      </c>
      <c r="B46">
        <v>40</v>
      </c>
      <c r="C46">
        <v>21</v>
      </c>
      <c r="D46" t="s">
        <v>0</v>
      </c>
      <c r="E46" t="s">
        <v>4</v>
      </c>
      <c r="F46">
        <v>45</v>
      </c>
      <c r="G46" t="s">
        <v>7</v>
      </c>
      <c r="H46" t="s">
        <v>6</v>
      </c>
      <c r="I46">
        <v>2.9</v>
      </c>
      <c r="J46">
        <v>8</v>
      </c>
      <c r="K46" t="s">
        <v>2</v>
      </c>
      <c r="L46" t="s">
        <v>2</v>
      </c>
      <c r="M46" t="s">
        <v>6</v>
      </c>
      <c r="N46" t="s">
        <v>5</v>
      </c>
    </row>
    <row r="47" spans="1:14" x14ac:dyDescent="0.3">
      <c r="A47">
        <v>46</v>
      </c>
      <c r="B47">
        <v>36</v>
      </c>
      <c r="C47">
        <v>34.1</v>
      </c>
      <c r="D47" t="s">
        <v>0</v>
      </c>
      <c r="E47" t="s">
        <v>8</v>
      </c>
      <c r="F47">
        <v>45</v>
      </c>
      <c r="G47" t="s">
        <v>9</v>
      </c>
      <c r="H47" t="s">
        <v>6</v>
      </c>
      <c r="I47">
        <v>2.2000000000000002</v>
      </c>
      <c r="J47">
        <v>8</v>
      </c>
      <c r="K47" t="s">
        <v>6</v>
      </c>
      <c r="L47" t="s">
        <v>1</v>
      </c>
      <c r="M47" t="s">
        <v>1</v>
      </c>
      <c r="N47" t="s">
        <v>0</v>
      </c>
    </row>
    <row r="48" spans="1:14" x14ac:dyDescent="0.3">
      <c r="A48">
        <v>47</v>
      </c>
      <c r="B48">
        <v>33</v>
      </c>
      <c r="C48">
        <v>22.1</v>
      </c>
      <c r="D48" t="s">
        <v>5</v>
      </c>
      <c r="E48" t="s">
        <v>8</v>
      </c>
      <c r="F48">
        <v>0</v>
      </c>
      <c r="G48" t="s">
        <v>7</v>
      </c>
      <c r="H48" t="s">
        <v>6</v>
      </c>
      <c r="I48">
        <v>3.2</v>
      </c>
      <c r="J48">
        <v>8</v>
      </c>
      <c r="K48" t="s">
        <v>1</v>
      </c>
      <c r="L48" t="s">
        <v>2</v>
      </c>
      <c r="M48" t="s">
        <v>6</v>
      </c>
      <c r="N48" t="s">
        <v>0</v>
      </c>
    </row>
    <row r="49" spans="1:14" x14ac:dyDescent="0.3">
      <c r="A49">
        <v>48</v>
      </c>
      <c r="B49">
        <v>37</v>
      </c>
      <c r="C49">
        <v>27.3</v>
      </c>
      <c r="D49" t="s">
        <v>5</v>
      </c>
      <c r="E49" t="s">
        <v>4</v>
      </c>
      <c r="F49">
        <v>0</v>
      </c>
      <c r="G49" t="s">
        <v>3</v>
      </c>
      <c r="H49" t="s">
        <v>6</v>
      </c>
      <c r="I49">
        <v>1.8</v>
      </c>
      <c r="J49">
        <v>8</v>
      </c>
      <c r="K49" t="s">
        <v>2</v>
      </c>
      <c r="L49" t="s">
        <v>2</v>
      </c>
      <c r="M49" t="s">
        <v>6</v>
      </c>
      <c r="N49" t="s">
        <v>5</v>
      </c>
    </row>
    <row r="50" spans="1:14" x14ac:dyDescent="0.3">
      <c r="A50">
        <v>49</v>
      </c>
      <c r="B50">
        <v>28</v>
      </c>
      <c r="C50">
        <v>22</v>
      </c>
      <c r="D50" t="s">
        <v>5</v>
      </c>
      <c r="E50" t="s">
        <v>8</v>
      </c>
      <c r="F50">
        <v>45</v>
      </c>
      <c r="G50" t="s">
        <v>7</v>
      </c>
      <c r="H50" t="s">
        <v>6</v>
      </c>
      <c r="I50">
        <v>2.1</v>
      </c>
      <c r="J50">
        <v>5</v>
      </c>
      <c r="K50" t="s">
        <v>6</v>
      </c>
      <c r="L50" t="s">
        <v>2</v>
      </c>
      <c r="M50" t="s">
        <v>1</v>
      </c>
      <c r="N50" t="s">
        <v>0</v>
      </c>
    </row>
    <row r="51" spans="1:14" x14ac:dyDescent="0.3">
      <c r="A51">
        <v>50</v>
      </c>
      <c r="B51">
        <v>29</v>
      </c>
      <c r="C51">
        <v>22.2</v>
      </c>
      <c r="D51" t="s">
        <v>0</v>
      </c>
      <c r="E51" t="s">
        <v>4</v>
      </c>
      <c r="F51">
        <v>0</v>
      </c>
      <c r="G51" t="s">
        <v>9</v>
      </c>
      <c r="H51" t="s">
        <v>2</v>
      </c>
      <c r="I51">
        <v>3.6</v>
      </c>
      <c r="J51">
        <v>9</v>
      </c>
      <c r="K51" t="s">
        <v>2</v>
      </c>
      <c r="L51" t="s">
        <v>2</v>
      </c>
      <c r="M51" t="s">
        <v>2</v>
      </c>
      <c r="N51" t="s">
        <v>5</v>
      </c>
    </row>
    <row r="52" spans="1:14" x14ac:dyDescent="0.3">
      <c r="A52">
        <v>51</v>
      </c>
      <c r="B52">
        <v>39</v>
      </c>
      <c r="C52">
        <v>20.399999999999999</v>
      </c>
      <c r="D52" t="s">
        <v>0</v>
      </c>
      <c r="E52" t="s">
        <v>8</v>
      </c>
      <c r="F52">
        <v>30</v>
      </c>
      <c r="G52" t="s">
        <v>7</v>
      </c>
      <c r="H52" t="s">
        <v>2</v>
      </c>
      <c r="I52">
        <v>3</v>
      </c>
      <c r="J52">
        <v>5</v>
      </c>
      <c r="K52" t="s">
        <v>2</v>
      </c>
      <c r="L52" t="s">
        <v>6</v>
      </c>
      <c r="M52" t="s">
        <v>2</v>
      </c>
      <c r="N52" t="s">
        <v>0</v>
      </c>
    </row>
    <row r="53" spans="1:14" x14ac:dyDescent="0.3">
      <c r="A53">
        <v>52</v>
      </c>
      <c r="B53">
        <v>27</v>
      </c>
      <c r="C53">
        <v>28</v>
      </c>
      <c r="D53" t="s">
        <v>5</v>
      </c>
      <c r="E53" t="s">
        <v>8</v>
      </c>
      <c r="F53">
        <v>15</v>
      </c>
      <c r="G53" t="s">
        <v>9</v>
      </c>
      <c r="H53" t="s">
        <v>1</v>
      </c>
      <c r="I53">
        <v>3.2</v>
      </c>
      <c r="J53">
        <v>6</v>
      </c>
      <c r="K53" t="s">
        <v>2</v>
      </c>
      <c r="L53" t="s">
        <v>1</v>
      </c>
      <c r="M53" t="s">
        <v>6</v>
      </c>
      <c r="N53" t="s">
        <v>0</v>
      </c>
    </row>
    <row r="54" spans="1:14" x14ac:dyDescent="0.3">
      <c r="A54">
        <v>53</v>
      </c>
      <c r="B54">
        <v>36</v>
      </c>
      <c r="C54">
        <v>31.4</v>
      </c>
      <c r="D54" t="s">
        <v>5</v>
      </c>
      <c r="E54" t="s">
        <v>8</v>
      </c>
      <c r="F54">
        <v>30</v>
      </c>
      <c r="G54" t="s">
        <v>9</v>
      </c>
      <c r="H54" t="s">
        <v>1</v>
      </c>
      <c r="I54">
        <v>3.1</v>
      </c>
      <c r="J54">
        <v>5</v>
      </c>
      <c r="K54" t="s">
        <v>6</v>
      </c>
      <c r="L54" t="s">
        <v>6</v>
      </c>
      <c r="M54" t="s">
        <v>2</v>
      </c>
      <c r="N54" t="s">
        <v>5</v>
      </c>
    </row>
    <row r="55" spans="1:14" x14ac:dyDescent="0.3">
      <c r="A55">
        <v>54</v>
      </c>
      <c r="B55">
        <v>29</v>
      </c>
      <c r="C55">
        <v>29</v>
      </c>
      <c r="D55" t="s">
        <v>5</v>
      </c>
      <c r="E55" t="s">
        <v>4</v>
      </c>
      <c r="F55">
        <v>45</v>
      </c>
      <c r="G55" t="s">
        <v>9</v>
      </c>
      <c r="H55" t="s">
        <v>1</v>
      </c>
      <c r="I55">
        <v>2.8</v>
      </c>
      <c r="J55">
        <v>7</v>
      </c>
      <c r="K55" t="s">
        <v>1</v>
      </c>
      <c r="L55" t="s">
        <v>1</v>
      </c>
      <c r="M55" t="s">
        <v>6</v>
      </c>
      <c r="N55" t="s">
        <v>5</v>
      </c>
    </row>
    <row r="56" spans="1:14" x14ac:dyDescent="0.3">
      <c r="A56">
        <v>55</v>
      </c>
      <c r="B56">
        <v>31</v>
      </c>
      <c r="C56">
        <v>32.1</v>
      </c>
      <c r="D56" t="s">
        <v>5</v>
      </c>
      <c r="E56" t="s">
        <v>8</v>
      </c>
      <c r="F56">
        <v>15</v>
      </c>
      <c r="G56" t="s">
        <v>9</v>
      </c>
      <c r="H56" t="s">
        <v>6</v>
      </c>
      <c r="I56">
        <v>3.7</v>
      </c>
      <c r="J56">
        <v>6</v>
      </c>
      <c r="K56" t="s">
        <v>6</v>
      </c>
      <c r="L56" t="s">
        <v>1</v>
      </c>
      <c r="M56" t="s">
        <v>1</v>
      </c>
      <c r="N56" t="s">
        <v>5</v>
      </c>
    </row>
    <row r="57" spans="1:14" x14ac:dyDescent="0.3">
      <c r="A57">
        <v>56</v>
      </c>
      <c r="B57">
        <v>28</v>
      </c>
      <c r="C57">
        <v>19</v>
      </c>
      <c r="D57" t="s">
        <v>5</v>
      </c>
      <c r="E57" t="s">
        <v>4</v>
      </c>
      <c r="F57">
        <v>45</v>
      </c>
      <c r="G57" t="s">
        <v>9</v>
      </c>
      <c r="H57" t="s">
        <v>6</v>
      </c>
      <c r="I57">
        <v>3.5</v>
      </c>
      <c r="J57">
        <v>7</v>
      </c>
      <c r="K57" t="s">
        <v>6</v>
      </c>
      <c r="L57" t="s">
        <v>1</v>
      </c>
      <c r="M57" t="s">
        <v>1</v>
      </c>
      <c r="N57" t="s">
        <v>5</v>
      </c>
    </row>
    <row r="58" spans="1:14" x14ac:dyDescent="0.3">
      <c r="A58">
        <v>57</v>
      </c>
      <c r="B58">
        <v>35</v>
      </c>
      <c r="C58">
        <v>18.7</v>
      </c>
      <c r="D58" t="s">
        <v>0</v>
      </c>
      <c r="E58" t="s">
        <v>4</v>
      </c>
      <c r="F58">
        <v>15</v>
      </c>
      <c r="G58" t="s">
        <v>3</v>
      </c>
      <c r="H58" t="s">
        <v>6</v>
      </c>
      <c r="I58">
        <v>2.7</v>
      </c>
      <c r="J58">
        <v>6</v>
      </c>
      <c r="K58" t="s">
        <v>1</v>
      </c>
      <c r="L58" t="s">
        <v>6</v>
      </c>
      <c r="M58" t="s">
        <v>1</v>
      </c>
      <c r="N58" t="s">
        <v>5</v>
      </c>
    </row>
    <row r="59" spans="1:14" x14ac:dyDescent="0.3">
      <c r="A59">
        <v>58</v>
      </c>
      <c r="B59">
        <v>32</v>
      </c>
      <c r="C59">
        <v>31.6</v>
      </c>
      <c r="D59" t="s">
        <v>0</v>
      </c>
      <c r="E59" t="s">
        <v>8</v>
      </c>
      <c r="F59">
        <v>15</v>
      </c>
      <c r="G59" t="s">
        <v>7</v>
      </c>
      <c r="H59" t="s">
        <v>1</v>
      </c>
      <c r="I59">
        <v>2.1</v>
      </c>
      <c r="J59">
        <v>9</v>
      </c>
      <c r="K59" t="s">
        <v>6</v>
      </c>
      <c r="L59" t="s">
        <v>6</v>
      </c>
      <c r="M59" t="s">
        <v>1</v>
      </c>
      <c r="N59" t="s">
        <v>5</v>
      </c>
    </row>
    <row r="60" spans="1:14" x14ac:dyDescent="0.3">
      <c r="A60">
        <v>59</v>
      </c>
      <c r="B60">
        <v>31</v>
      </c>
      <c r="C60">
        <v>34.9</v>
      </c>
      <c r="D60" t="s">
        <v>5</v>
      </c>
      <c r="E60" t="s">
        <v>8</v>
      </c>
      <c r="F60">
        <v>45</v>
      </c>
      <c r="G60" t="s">
        <v>7</v>
      </c>
      <c r="H60" t="s">
        <v>6</v>
      </c>
      <c r="I60">
        <v>2.1</v>
      </c>
      <c r="J60">
        <v>5</v>
      </c>
      <c r="K60" t="s">
        <v>1</v>
      </c>
      <c r="L60" t="s">
        <v>2</v>
      </c>
      <c r="M60" t="s">
        <v>6</v>
      </c>
      <c r="N60" t="s">
        <v>0</v>
      </c>
    </row>
    <row r="61" spans="1:14" x14ac:dyDescent="0.3">
      <c r="A61">
        <v>60</v>
      </c>
      <c r="B61">
        <v>35</v>
      </c>
      <c r="C61">
        <v>34.200000000000003</v>
      </c>
      <c r="D61" t="s">
        <v>0</v>
      </c>
      <c r="E61" t="s">
        <v>4</v>
      </c>
      <c r="F61">
        <v>15</v>
      </c>
      <c r="G61" t="s">
        <v>3</v>
      </c>
      <c r="H61" t="s">
        <v>6</v>
      </c>
      <c r="I61">
        <v>2.2000000000000002</v>
      </c>
      <c r="J61">
        <v>9</v>
      </c>
      <c r="K61" t="s">
        <v>1</v>
      </c>
      <c r="L61" t="s">
        <v>1</v>
      </c>
      <c r="M61" t="s">
        <v>6</v>
      </c>
      <c r="N61" t="s">
        <v>0</v>
      </c>
    </row>
    <row r="62" spans="1:14" x14ac:dyDescent="0.3">
      <c r="A62">
        <v>61</v>
      </c>
      <c r="B62">
        <v>24</v>
      </c>
      <c r="C62">
        <v>23.4</v>
      </c>
      <c r="D62" t="s">
        <v>5</v>
      </c>
      <c r="E62" t="s">
        <v>4</v>
      </c>
      <c r="F62">
        <v>30</v>
      </c>
      <c r="G62" t="s">
        <v>9</v>
      </c>
      <c r="H62" t="s">
        <v>1</v>
      </c>
      <c r="I62">
        <v>2.8</v>
      </c>
      <c r="J62">
        <v>7</v>
      </c>
      <c r="K62" t="s">
        <v>2</v>
      </c>
      <c r="L62" t="s">
        <v>2</v>
      </c>
      <c r="M62" t="s">
        <v>1</v>
      </c>
      <c r="N62" t="s">
        <v>5</v>
      </c>
    </row>
    <row r="63" spans="1:14" x14ac:dyDescent="0.3">
      <c r="A63">
        <v>62</v>
      </c>
      <c r="B63">
        <v>40</v>
      </c>
      <c r="C63">
        <v>34.1</v>
      </c>
      <c r="D63" t="s">
        <v>5</v>
      </c>
      <c r="E63" t="s">
        <v>4</v>
      </c>
      <c r="F63">
        <v>0</v>
      </c>
      <c r="G63" t="s">
        <v>3</v>
      </c>
      <c r="H63" t="s">
        <v>6</v>
      </c>
      <c r="I63">
        <v>2.7</v>
      </c>
      <c r="J63">
        <v>8</v>
      </c>
      <c r="K63" t="s">
        <v>6</v>
      </c>
      <c r="L63" t="s">
        <v>2</v>
      </c>
      <c r="M63" t="s">
        <v>2</v>
      </c>
      <c r="N63" t="s">
        <v>5</v>
      </c>
    </row>
    <row r="64" spans="1:14" x14ac:dyDescent="0.3">
      <c r="A64">
        <v>63</v>
      </c>
      <c r="B64">
        <v>33</v>
      </c>
      <c r="C64">
        <v>20.399999999999999</v>
      </c>
      <c r="D64" t="s">
        <v>0</v>
      </c>
      <c r="E64" t="s">
        <v>8</v>
      </c>
      <c r="F64">
        <v>45</v>
      </c>
      <c r="G64" t="s">
        <v>9</v>
      </c>
      <c r="H64" t="s">
        <v>1</v>
      </c>
      <c r="I64">
        <v>3.1</v>
      </c>
      <c r="J64">
        <v>5</v>
      </c>
      <c r="K64" t="s">
        <v>2</v>
      </c>
      <c r="L64" t="s">
        <v>2</v>
      </c>
      <c r="M64" t="s">
        <v>1</v>
      </c>
      <c r="N64" t="s">
        <v>5</v>
      </c>
    </row>
    <row r="65" spans="1:14" x14ac:dyDescent="0.3">
      <c r="A65">
        <v>64</v>
      </c>
      <c r="B65">
        <v>20</v>
      </c>
      <c r="C65">
        <v>34.9</v>
      </c>
      <c r="D65" t="s">
        <v>0</v>
      </c>
      <c r="E65" t="s">
        <v>8</v>
      </c>
      <c r="F65">
        <v>60</v>
      </c>
      <c r="G65" t="s">
        <v>3</v>
      </c>
      <c r="H65" t="s">
        <v>1</v>
      </c>
      <c r="I65">
        <v>2.1</v>
      </c>
      <c r="J65">
        <v>9</v>
      </c>
      <c r="K65" t="s">
        <v>6</v>
      </c>
      <c r="L65" t="s">
        <v>6</v>
      </c>
      <c r="M65" t="s">
        <v>6</v>
      </c>
      <c r="N65" t="s">
        <v>5</v>
      </c>
    </row>
    <row r="66" spans="1:14" x14ac:dyDescent="0.3">
      <c r="A66">
        <v>65</v>
      </c>
      <c r="B66">
        <v>36</v>
      </c>
      <c r="C66">
        <v>34.799999999999997</v>
      </c>
      <c r="D66" t="s">
        <v>5</v>
      </c>
      <c r="E66" t="s">
        <v>4</v>
      </c>
      <c r="F66">
        <v>60</v>
      </c>
      <c r="G66" t="s">
        <v>3</v>
      </c>
      <c r="H66" t="s">
        <v>2</v>
      </c>
      <c r="I66">
        <v>3.9</v>
      </c>
      <c r="J66">
        <v>6</v>
      </c>
      <c r="K66" t="s">
        <v>1</v>
      </c>
      <c r="L66" t="s">
        <v>2</v>
      </c>
      <c r="M66" t="s">
        <v>6</v>
      </c>
      <c r="N66" t="s">
        <v>0</v>
      </c>
    </row>
    <row r="67" spans="1:14" x14ac:dyDescent="0.3">
      <c r="A67">
        <v>66</v>
      </c>
      <c r="B67">
        <v>23</v>
      </c>
      <c r="C67">
        <v>22.5</v>
      </c>
      <c r="D67" t="s">
        <v>0</v>
      </c>
      <c r="E67" t="s">
        <v>4</v>
      </c>
      <c r="F67">
        <v>0</v>
      </c>
      <c r="G67" t="s">
        <v>7</v>
      </c>
      <c r="H67" t="s">
        <v>6</v>
      </c>
      <c r="I67">
        <v>3.2</v>
      </c>
      <c r="J67">
        <v>8</v>
      </c>
      <c r="K67" t="s">
        <v>6</v>
      </c>
      <c r="L67" t="s">
        <v>2</v>
      </c>
      <c r="M67" t="s">
        <v>2</v>
      </c>
      <c r="N67" t="s">
        <v>5</v>
      </c>
    </row>
    <row r="68" spans="1:14" x14ac:dyDescent="0.3">
      <c r="A68">
        <v>67</v>
      </c>
      <c r="B68">
        <v>40</v>
      </c>
      <c r="C68">
        <v>23.2</v>
      </c>
      <c r="D68" t="s">
        <v>5</v>
      </c>
      <c r="E68" t="s">
        <v>4</v>
      </c>
      <c r="F68">
        <v>15</v>
      </c>
      <c r="G68" t="s">
        <v>7</v>
      </c>
      <c r="H68" t="s">
        <v>1</v>
      </c>
      <c r="I68">
        <v>3</v>
      </c>
      <c r="J68">
        <v>6</v>
      </c>
      <c r="K68" t="s">
        <v>6</v>
      </c>
      <c r="L68" t="s">
        <v>2</v>
      </c>
      <c r="M68" t="s">
        <v>1</v>
      </c>
      <c r="N68" t="s">
        <v>0</v>
      </c>
    </row>
    <row r="69" spans="1:14" x14ac:dyDescent="0.3">
      <c r="A69">
        <v>68</v>
      </c>
      <c r="B69">
        <v>38</v>
      </c>
      <c r="C69">
        <v>21</v>
      </c>
      <c r="D69" t="s">
        <v>5</v>
      </c>
      <c r="E69" t="s">
        <v>4</v>
      </c>
      <c r="F69">
        <v>0</v>
      </c>
      <c r="G69" t="s">
        <v>9</v>
      </c>
      <c r="H69" t="s">
        <v>2</v>
      </c>
      <c r="I69">
        <v>3.5</v>
      </c>
      <c r="J69">
        <v>9</v>
      </c>
      <c r="K69" t="s">
        <v>1</v>
      </c>
      <c r="L69" t="s">
        <v>1</v>
      </c>
      <c r="M69" t="s">
        <v>6</v>
      </c>
      <c r="N69" t="s">
        <v>5</v>
      </c>
    </row>
    <row r="70" spans="1:14" x14ac:dyDescent="0.3">
      <c r="A70">
        <v>69</v>
      </c>
      <c r="B70">
        <v>21</v>
      </c>
      <c r="C70">
        <v>26.2</v>
      </c>
      <c r="D70" t="s">
        <v>5</v>
      </c>
      <c r="E70" t="s">
        <v>8</v>
      </c>
      <c r="F70">
        <v>30</v>
      </c>
      <c r="G70" t="s">
        <v>3</v>
      </c>
      <c r="H70" t="s">
        <v>1</v>
      </c>
      <c r="I70">
        <v>2.7</v>
      </c>
      <c r="J70">
        <v>5</v>
      </c>
      <c r="K70" t="s">
        <v>1</v>
      </c>
      <c r="L70" t="s">
        <v>2</v>
      </c>
      <c r="M70" t="s">
        <v>6</v>
      </c>
      <c r="N70" t="s">
        <v>5</v>
      </c>
    </row>
    <row r="71" spans="1:14" x14ac:dyDescent="0.3">
      <c r="A71">
        <v>70</v>
      </c>
      <c r="B71">
        <v>37</v>
      </c>
      <c r="C71">
        <v>22.6</v>
      </c>
      <c r="D71" t="s">
        <v>0</v>
      </c>
      <c r="E71" t="s">
        <v>4</v>
      </c>
      <c r="F71">
        <v>60</v>
      </c>
      <c r="G71" t="s">
        <v>3</v>
      </c>
      <c r="H71" t="s">
        <v>2</v>
      </c>
      <c r="I71">
        <v>4</v>
      </c>
      <c r="J71">
        <v>7</v>
      </c>
      <c r="K71" t="s">
        <v>1</v>
      </c>
      <c r="L71" t="s">
        <v>2</v>
      </c>
      <c r="M71" t="s">
        <v>2</v>
      </c>
      <c r="N71" t="s">
        <v>5</v>
      </c>
    </row>
    <row r="72" spans="1:14" x14ac:dyDescent="0.3">
      <c r="A72">
        <v>71</v>
      </c>
      <c r="B72">
        <v>34</v>
      </c>
      <c r="C72">
        <v>29.2</v>
      </c>
      <c r="D72" t="s">
        <v>5</v>
      </c>
      <c r="E72" t="s">
        <v>4</v>
      </c>
      <c r="F72">
        <v>60</v>
      </c>
      <c r="G72" t="s">
        <v>7</v>
      </c>
      <c r="H72" t="s">
        <v>1</v>
      </c>
      <c r="I72">
        <v>3.5</v>
      </c>
      <c r="J72">
        <v>5</v>
      </c>
      <c r="K72" t="s">
        <v>6</v>
      </c>
      <c r="L72" t="s">
        <v>6</v>
      </c>
      <c r="M72" t="s">
        <v>6</v>
      </c>
      <c r="N72" t="s">
        <v>5</v>
      </c>
    </row>
    <row r="73" spans="1:14" x14ac:dyDescent="0.3">
      <c r="A73">
        <v>72</v>
      </c>
      <c r="B73">
        <v>28</v>
      </c>
      <c r="C73">
        <v>29.6</v>
      </c>
      <c r="D73" t="s">
        <v>0</v>
      </c>
      <c r="E73" t="s">
        <v>8</v>
      </c>
      <c r="F73">
        <v>45</v>
      </c>
      <c r="G73" t="s">
        <v>3</v>
      </c>
      <c r="H73" t="s">
        <v>6</v>
      </c>
      <c r="I73">
        <v>2.2000000000000002</v>
      </c>
      <c r="J73">
        <v>8</v>
      </c>
      <c r="K73" t="s">
        <v>1</v>
      </c>
      <c r="L73" t="s">
        <v>2</v>
      </c>
      <c r="M73" t="s">
        <v>6</v>
      </c>
      <c r="N73" t="s">
        <v>0</v>
      </c>
    </row>
    <row r="74" spans="1:14" x14ac:dyDescent="0.3">
      <c r="A74">
        <v>73</v>
      </c>
      <c r="B74">
        <v>28</v>
      </c>
      <c r="C74">
        <v>22.7</v>
      </c>
      <c r="D74" t="s">
        <v>0</v>
      </c>
      <c r="E74" t="s">
        <v>8</v>
      </c>
      <c r="F74">
        <v>60</v>
      </c>
      <c r="G74" t="s">
        <v>9</v>
      </c>
      <c r="H74" t="s">
        <v>1</v>
      </c>
      <c r="I74">
        <v>3.7</v>
      </c>
      <c r="J74">
        <v>8</v>
      </c>
      <c r="K74" t="s">
        <v>6</v>
      </c>
      <c r="L74" t="s">
        <v>2</v>
      </c>
      <c r="M74" t="s">
        <v>2</v>
      </c>
      <c r="N74" t="s">
        <v>5</v>
      </c>
    </row>
    <row r="75" spans="1:14" x14ac:dyDescent="0.3">
      <c r="A75">
        <v>74</v>
      </c>
      <c r="B75">
        <v>37</v>
      </c>
      <c r="C75">
        <v>31</v>
      </c>
      <c r="D75" t="s">
        <v>5</v>
      </c>
      <c r="E75" t="s">
        <v>4</v>
      </c>
      <c r="F75">
        <v>15</v>
      </c>
      <c r="G75" t="s">
        <v>7</v>
      </c>
      <c r="H75" t="s">
        <v>1</v>
      </c>
      <c r="I75">
        <v>1.8</v>
      </c>
      <c r="J75">
        <v>7</v>
      </c>
      <c r="K75" t="s">
        <v>6</v>
      </c>
      <c r="L75" t="s">
        <v>1</v>
      </c>
      <c r="M75" t="s">
        <v>6</v>
      </c>
      <c r="N75" t="s">
        <v>0</v>
      </c>
    </row>
    <row r="76" spans="1:14" x14ac:dyDescent="0.3">
      <c r="A76">
        <v>75</v>
      </c>
      <c r="B76">
        <v>18</v>
      </c>
      <c r="C76">
        <v>34.6</v>
      </c>
      <c r="D76" t="s">
        <v>0</v>
      </c>
      <c r="E76" t="s">
        <v>4</v>
      </c>
      <c r="F76">
        <v>30</v>
      </c>
      <c r="G76" t="s">
        <v>3</v>
      </c>
      <c r="H76" t="s">
        <v>2</v>
      </c>
      <c r="I76">
        <v>2.9</v>
      </c>
      <c r="J76">
        <v>5</v>
      </c>
      <c r="K76" t="s">
        <v>2</v>
      </c>
      <c r="L76" t="s">
        <v>2</v>
      </c>
      <c r="M76" t="s">
        <v>6</v>
      </c>
      <c r="N76" t="s">
        <v>0</v>
      </c>
    </row>
    <row r="77" spans="1:14" x14ac:dyDescent="0.3">
      <c r="A77">
        <v>76</v>
      </c>
      <c r="B77">
        <v>38</v>
      </c>
      <c r="C77">
        <v>32.200000000000003</v>
      </c>
      <c r="D77" t="s">
        <v>5</v>
      </c>
      <c r="E77" t="s">
        <v>8</v>
      </c>
      <c r="F77">
        <v>60</v>
      </c>
      <c r="G77" t="s">
        <v>3</v>
      </c>
      <c r="H77" t="s">
        <v>6</v>
      </c>
      <c r="I77">
        <v>2.5</v>
      </c>
      <c r="J77">
        <v>8</v>
      </c>
      <c r="K77" t="s">
        <v>6</v>
      </c>
      <c r="L77" t="s">
        <v>2</v>
      </c>
      <c r="M77" t="s">
        <v>6</v>
      </c>
      <c r="N77" t="s">
        <v>0</v>
      </c>
    </row>
    <row r="78" spans="1:14" x14ac:dyDescent="0.3">
      <c r="A78">
        <v>77</v>
      </c>
      <c r="B78">
        <v>30</v>
      </c>
      <c r="C78">
        <v>21.6</v>
      </c>
      <c r="D78" t="s">
        <v>0</v>
      </c>
      <c r="E78" t="s">
        <v>4</v>
      </c>
      <c r="F78">
        <v>30</v>
      </c>
      <c r="G78" t="s">
        <v>7</v>
      </c>
      <c r="H78" t="s">
        <v>6</v>
      </c>
      <c r="I78">
        <v>3.8</v>
      </c>
      <c r="J78">
        <v>9</v>
      </c>
      <c r="K78" t="s">
        <v>6</v>
      </c>
      <c r="L78" t="s">
        <v>2</v>
      </c>
      <c r="M78" t="s">
        <v>6</v>
      </c>
      <c r="N78" t="s">
        <v>5</v>
      </c>
    </row>
    <row r="79" spans="1:14" x14ac:dyDescent="0.3">
      <c r="A79">
        <v>78</v>
      </c>
      <c r="B79">
        <v>36</v>
      </c>
      <c r="C79">
        <v>28.1</v>
      </c>
      <c r="D79" t="s">
        <v>5</v>
      </c>
      <c r="E79" t="s">
        <v>4</v>
      </c>
      <c r="F79">
        <v>45</v>
      </c>
      <c r="G79" t="s">
        <v>3</v>
      </c>
      <c r="H79" t="s">
        <v>6</v>
      </c>
      <c r="I79">
        <v>2.4</v>
      </c>
      <c r="J79">
        <v>9</v>
      </c>
      <c r="K79" t="s">
        <v>1</v>
      </c>
      <c r="L79" t="s">
        <v>6</v>
      </c>
      <c r="M79" t="s">
        <v>6</v>
      </c>
      <c r="N79" t="s">
        <v>5</v>
      </c>
    </row>
    <row r="80" spans="1:14" x14ac:dyDescent="0.3">
      <c r="A80">
        <v>79</v>
      </c>
      <c r="B80">
        <v>24</v>
      </c>
      <c r="C80">
        <v>34.700000000000003</v>
      </c>
      <c r="D80" t="s">
        <v>0</v>
      </c>
      <c r="E80" t="s">
        <v>8</v>
      </c>
      <c r="F80">
        <v>15</v>
      </c>
      <c r="G80" t="s">
        <v>7</v>
      </c>
      <c r="H80" t="s">
        <v>2</v>
      </c>
      <c r="I80">
        <v>2.2999999999999998</v>
      </c>
      <c r="J80">
        <v>8</v>
      </c>
      <c r="K80" t="s">
        <v>1</v>
      </c>
      <c r="L80" t="s">
        <v>6</v>
      </c>
      <c r="M80" t="s">
        <v>6</v>
      </c>
      <c r="N80" t="s">
        <v>0</v>
      </c>
    </row>
    <row r="81" spans="1:14" x14ac:dyDescent="0.3">
      <c r="A81">
        <v>80</v>
      </c>
      <c r="B81">
        <v>33</v>
      </c>
      <c r="C81">
        <v>34.4</v>
      </c>
      <c r="D81" t="s">
        <v>0</v>
      </c>
      <c r="E81" t="s">
        <v>8</v>
      </c>
      <c r="F81">
        <v>0</v>
      </c>
      <c r="G81" t="s">
        <v>7</v>
      </c>
      <c r="H81" t="s">
        <v>2</v>
      </c>
      <c r="I81">
        <v>2.8</v>
      </c>
      <c r="J81">
        <v>8</v>
      </c>
      <c r="K81" t="s">
        <v>2</v>
      </c>
      <c r="L81" t="s">
        <v>1</v>
      </c>
      <c r="M81" t="s">
        <v>2</v>
      </c>
      <c r="N81" t="s">
        <v>5</v>
      </c>
    </row>
    <row r="82" spans="1:14" x14ac:dyDescent="0.3">
      <c r="A82">
        <v>81</v>
      </c>
      <c r="B82">
        <v>38</v>
      </c>
      <c r="C82">
        <v>34.5</v>
      </c>
      <c r="D82" t="s">
        <v>0</v>
      </c>
      <c r="E82" t="s">
        <v>8</v>
      </c>
      <c r="F82">
        <v>30</v>
      </c>
      <c r="G82" t="s">
        <v>7</v>
      </c>
      <c r="H82" t="s">
        <v>1</v>
      </c>
      <c r="I82">
        <v>3.2</v>
      </c>
      <c r="J82">
        <v>5</v>
      </c>
      <c r="K82" t="s">
        <v>6</v>
      </c>
      <c r="L82" t="s">
        <v>1</v>
      </c>
      <c r="M82" t="s">
        <v>1</v>
      </c>
      <c r="N82" t="s">
        <v>5</v>
      </c>
    </row>
    <row r="83" spans="1:14" x14ac:dyDescent="0.3">
      <c r="A83">
        <v>82</v>
      </c>
      <c r="B83">
        <v>28</v>
      </c>
      <c r="C83">
        <v>28.8</v>
      </c>
      <c r="D83" t="s">
        <v>5</v>
      </c>
      <c r="E83" t="s">
        <v>4</v>
      </c>
      <c r="F83">
        <v>60</v>
      </c>
      <c r="G83" t="s">
        <v>9</v>
      </c>
      <c r="H83" t="s">
        <v>2</v>
      </c>
      <c r="I83">
        <v>3.1</v>
      </c>
      <c r="J83">
        <v>7</v>
      </c>
      <c r="K83" t="s">
        <v>2</v>
      </c>
      <c r="L83" t="s">
        <v>1</v>
      </c>
      <c r="M83" t="s">
        <v>2</v>
      </c>
      <c r="N83" t="s">
        <v>5</v>
      </c>
    </row>
    <row r="84" spans="1:14" x14ac:dyDescent="0.3">
      <c r="A84">
        <v>83</v>
      </c>
      <c r="B84">
        <v>21</v>
      </c>
      <c r="C84">
        <v>31</v>
      </c>
      <c r="D84" t="s">
        <v>0</v>
      </c>
      <c r="E84" t="s">
        <v>8</v>
      </c>
      <c r="F84">
        <v>15</v>
      </c>
      <c r="G84" t="s">
        <v>3</v>
      </c>
      <c r="H84" t="s">
        <v>6</v>
      </c>
      <c r="I84">
        <v>3.8</v>
      </c>
      <c r="J84">
        <v>5</v>
      </c>
      <c r="K84" t="s">
        <v>6</v>
      </c>
      <c r="L84" t="s">
        <v>2</v>
      </c>
      <c r="M84" t="s">
        <v>6</v>
      </c>
      <c r="N84" t="s">
        <v>5</v>
      </c>
    </row>
    <row r="85" spans="1:14" x14ac:dyDescent="0.3">
      <c r="A85">
        <v>84</v>
      </c>
      <c r="B85">
        <v>29</v>
      </c>
      <c r="C85">
        <v>25.6</v>
      </c>
      <c r="D85" t="s">
        <v>0</v>
      </c>
      <c r="E85" t="s">
        <v>8</v>
      </c>
      <c r="F85">
        <v>60</v>
      </c>
      <c r="G85" t="s">
        <v>3</v>
      </c>
      <c r="H85" t="s">
        <v>2</v>
      </c>
      <c r="I85">
        <v>1.9</v>
      </c>
      <c r="J85">
        <v>5</v>
      </c>
      <c r="K85" t="s">
        <v>1</v>
      </c>
      <c r="L85" t="s">
        <v>6</v>
      </c>
      <c r="M85" t="s">
        <v>1</v>
      </c>
      <c r="N85" t="s">
        <v>0</v>
      </c>
    </row>
    <row r="86" spans="1:14" x14ac:dyDescent="0.3">
      <c r="A86">
        <v>85</v>
      </c>
      <c r="B86">
        <v>33</v>
      </c>
      <c r="C86">
        <v>33.6</v>
      </c>
      <c r="D86" t="s">
        <v>0</v>
      </c>
      <c r="E86" t="s">
        <v>4</v>
      </c>
      <c r="F86">
        <v>45</v>
      </c>
      <c r="G86" t="s">
        <v>3</v>
      </c>
      <c r="H86" t="s">
        <v>6</v>
      </c>
      <c r="I86">
        <v>2.6</v>
      </c>
      <c r="J86">
        <v>5</v>
      </c>
      <c r="K86" t="s">
        <v>6</v>
      </c>
      <c r="L86" t="s">
        <v>6</v>
      </c>
      <c r="M86" t="s">
        <v>1</v>
      </c>
      <c r="N86" t="s">
        <v>0</v>
      </c>
    </row>
    <row r="87" spans="1:14" x14ac:dyDescent="0.3">
      <c r="A87">
        <v>86</v>
      </c>
      <c r="B87">
        <v>20</v>
      </c>
      <c r="C87">
        <v>25.8</v>
      </c>
      <c r="D87" t="s">
        <v>5</v>
      </c>
      <c r="E87" t="s">
        <v>8</v>
      </c>
      <c r="F87">
        <v>45</v>
      </c>
      <c r="G87" t="s">
        <v>3</v>
      </c>
      <c r="H87" t="s">
        <v>6</v>
      </c>
      <c r="I87">
        <v>2.6</v>
      </c>
      <c r="J87">
        <v>7</v>
      </c>
      <c r="K87" t="s">
        <v>2</v>
      </c>
      <c r="L87" t="s">
        <v>6</v>
      </c>
      <c r="M87" t="s">
        <v>6</v>
      </c>
      <c r="N87" t="s">
        <v>0</v>
      </c>
    </row>
    <row r="88" spans="1:14" x14ac:dyDescent="0.3">
      <c r="A88">
        <v>87</v>
      </c>
      <c r="B88">
        <v>25</v>
      </c>
      <c r="C88">
        <v>24.8</v>
      </c>
      <c r="D88" t="s">
        <v>5</v>
      </c>
      <c r="E88" t="s">
        <v>8</v>
      </c>
      <c r="F88">
        <v>30</v>
      </c>
      <c r="G88" t="s">
        <v>9</v>
      </c>
      <c r="H88" t="s">
        <v>1</v>
      </c>
      <c r="I88">
        <v>2.5</v>
      </c>
      <c r="J88">
        <v>5</v>
      </c>
      <c r="K88" t="s">
        <v>1</v>
      </c>
      <c r="L88" t="s">
        <v>1</v>
      </c>
      <c r="M88" t="s">
        <v>1</v>
      </c>
      <c r="N88" t="s">
        <v>0</v>
      </c>
    </row>
    <row r="89" spans="1:14" x14ac:dyDescent="0.3">
      <c r="A89">
        <v>88</v>
      </c>
      <c r="B89">
        <v>37</v>
      </c>
      <c r="C89">
        <v>30.8</v>
      </c>
      <c r="D89" t="s">
        <v>5</v>
      </c>
      <c r="E89" t="s">
        <v>4</v>
      </c>
      <c r="F89">
        <v>60</v>
      </c>
      <c r="G89" t="s">
        <v>7</v>
      </c>
      <c r="H89" t="s">
        <v>2</v>
      </c>
      <c r="I89">
        <v>3.1</v>
      </c>
      <c r="J89">
        <v>9</v>
      </c>
      <c r="K89" t="s">
        <v>6</v>
      </c>
      <c r="L89" t="s">
        <v>1</v>
      </c>
      <c r="M89" t="s">
        <v>1</v>
      </c>
      <c r="N89" t="s">
        <v>0</v>
      </c>
    </row>
    <row r="90" spans="1:14" x14ac:dyDescent="0.3">
      <c r="A90">
        <v>89</v>
      </c>
      <c r="B90">
        <v>38</v>
      </c>
      <c r="C90">
        <v>20.100000000000001</v>
      </c>
      <c r="D90" t="s">
        <v>0</v>
      </c>
      <c r="E90" t="s">
        <v>8</v>
      </c>
      <c r="F90">
        <v>45</v>
      </c>
      <c r="G90" t="s">
        <v>9</v>
      </c>
      <c r="H90" t="s">
        <v>1</v>
      </c>
      <c r="I90">
        <v>2.4</v>
      </c>
      <c r="J90">
        <v>6</v>
      </c>
      <c r="K90" t="s">
        <v>2</v>
      </c>
      <c r="L90" t="s">
        <v>6</v>
      </c>
      <c r="M90" t="s">
        <v>6</v>
      </c>
      <c r="N90" t="s">
        <v>5</v>
      </c>
    </row>
    <row r="91" spans="1:14" x14ac:dyDescent="0.3">
      <c r="A91">
        <v>90</v>
      </c>
      <c r="B91">
        <v>23</v>
      </c>
      <c r="C91">
        <v>21.8</v>
      </c>
      <c r="D91" t="s">
        <v>5</v>
      </c>
      <c r="E91" t="s">
        <v>8</v>
      </c>
      <c r="F91">
        <v>15</v>
      </c>
      <c r="G91" t="s">
        <v>7</v>
      </c>
      <c r="H91" t="s">
        <v>6</v>
      </c>
      <c r="I91">
        <v>3.9</v>
      </c>
      <c r="J91">
        <v>7</v>
      </c>
      <c r="K91" t="s">
        <v>1</v>
      </c>
      <c r="L91" t="s">
        <v>6</v>
      </c>
      <c r="M91" t="s">
        <v>2</v>
      </c>
      <c r="N91" t="s">
        <v>5</v>
      </c>
    </row>
    <row r="92" spans="1:14" x14ac:dyDescent="0.3">
      <c r="A92">
        <v>91</v>
      </c>
      <c r="B92">
        <v>20</v>
      </c>
      <c r="C92">
        <v>20.8</v>
      </c>
      <c r="D92" t="s">
        <v>0</v>
      </c>
      <c r="E92" t="s">
        <v>8</v>
      </c>
      <c r="F92">
        <v>60</v>
      </c>
      <c r="G92" t="s">
        <v>7</v>
      </c>
      <c r="H92" t="s">
        <v>2</v>
      </c>
      <c r="I92">
        <v>3.5</v>
      </c>
      <c r="J92">
        <v>5</v>
      </c>
      <c r="K92" t="s">
        <v>6</v>
      </c>
      <c r="L92" t="s">
        <v>1</v>
      </c>
      <c r="M92" t="s">
        <v>2</v>
      </c>
      <c r="N92" t="s">
        <v>5</v>
      </c>
    </row>
    <row r="93" spans="1:14" x14ac:dyDescent="0.3">
      <c r="A93">
        <v>92</v>
      </c>
      <c r="B93">
        <v>29</v>
      </c>
      <c r="C93">
        <v>29.6</v>
      </c>
      <c r="D93" t="s">
        <v>5</v>
      </c>
      <c r="E93" t="s">
        <v>8</v>
      </c>
      <c r="F93">
        <v>30</v>
      </c>
      <c r="G93" t="s">
        <v>9</v>
      </c>
      <c r="H93" t="s">
        <v>1</v>
      </c>
      <c r="I93">
        <v>2.1</v>
      </c>
      <c r="J93">
        <v>5</v>
      </c>
      <c r="K93" t="s">
        <v>1</v>
      </c>
      <c r="L93" t="s">
        <v>1</v>
      </c>
      <c r="M93" t="s">
        <v>6</v>
      </c>
      <c r="N93" t="s">
        <v>0</v>
      </c>
    </row>
    <row r="94" spans="1:14" x14ac:dyDescent="0.3">
      <c r="A94">
        <v>93</v>
      </c>
      <c r="B94">
        <v>38</v>
      </c>
      <c r="C94">
        <v>19.5</v>
      </c>
      <c r="D94" t="s">
        <v>5</v>
      </c>
      <c r="E94" t="s">
        <v>8</v>
      </c>
      <c r="F94">
        <v>45</v>
      </c>
      <c r="G94" t="s">
        <v>9</v>
      </c>
      <c r="H94" t="s">
        <v>2</v>
      </c>
      <c r="I94">
        <v>1.6</v>
      </c>
      <c r="J94">
        <v>5</v>
      </c>
      <c r="K94" t="s">
        <v>6</v>
      </c>
      <c r="L94" t="s">
        <v>6</v>
      </c>
      <c r="M94" t="s">
        <v>2</v>
      </c>
      <c r="N94" t="s">
        <v>0</v>
      </c>
    </row>
    <row r="95" spans="1:14" x14ac:dyDescent="0.3">
      <c r="A95">
        <v>94</v>
      </c>
      <c r="B95">
        <v>25</v>
      </c>
      <c r="C95">
        <v>33.1</v>
      </c>
      <c r="D95" t="s">
        <v>0</v>
      </c>
      <c r="E95" t="s">
        <v>8</v>
      </c>
      <c r="F95">
        <v>45</v>
      </c>
      <c r="G95" t="s">
        <v>7</v>
      </c>
      <c r="H95" t="s">
        <v>1</v>
      </c>
      <c r="I95">
        <v>3.9</v>
      </c>
      <c r="J95">
        <v>9</v>
      </c>
      <c r="K95" t="s">
        <v>6</v>
      </c>
      <c r="L95" t="s">
        <v>1</v>
      </c>
      <c r="M95" t="s">
        <v>1</v>
      </c>
      <c r="N95" t="s">
        <v>0</v>
      </c>
    </row>
    <row r="96" spans="1:14" x14ac:dyDescent="0.3">
      <c r="A96">
        <v>95</v>
      </c>
      <c r="B96">
        <v>31</v>
      </c>
      <c r="C96">
        <v>29.3</v>
      </c>
      <c r="D96" t="s">
        <v>5</v>
      </c>
      <c r="E96" t="s">
        <v>8</v>
      </c>
      <c r="F96">
        <v>30</v>
      </c>
      <c r="G96" t="s">
        <v>9</v>
      </c>
      <c r="H96" t="s">
        <v>1</v>
      </c>
      <c r="I96">
        <v>2.4</v>
      </c>
      <c r="J96">
        <v>8</v>
      </c>
      <c r="K96" t="s">
        <v>6</v>
      </c>
      <c r="L96" t="s">
        <v>2</v>
      </c>
      <c r="M96" t="s">
        <v>6</v>
      </c>
      <c r="N96" t="s">
        <v>0</v>
      </c>
    </row>
    <row r="97" spans="1:14" x14ac:dyDescent="0.3">
      <c r="A97">
        <v>96</v>
      </c>
      <c r="B97">
        <v>39</v>
      </c>
      <c r="C97">
        <v>24.6</v>
      </c>
      <c r="D97" t="s">
        <v>5</v>
      </c>
      <c r="E97" t="s">
        <v>4</v>
      </c>
      <c r="F97">
        <v>45</v>
      </c>
      <c r="G97" t="s">
        <v>7</v>
      </c>
      <c r="H97" t="s">
        <v>2</v>
      </c>
      <c r="I97">
        <v>3.9</v>
      </c>
      <c r="J97">
        <v>8</v>
      </c>
      <c r="K97" t="s">
        <v>2</v>
      </c>
      <c r="L97" t="s">
        <v>1</v>
      </c>
      <c r="M97" t="s">
        <v>2</v>
      </c>
      <c r="N97" t="s">
        <v>0</v>
      </c>
    </row>
    <row r="98" spans="1:14" x14ac:dyDescent="0.3">
      <c r="A98">
        <v>97</v>
      </c>
      <c r="B98">
        <v>19</v>
      </c>
      <c r="C98">
        <v>31.5</v>
      </c>
      <c r="D98" t="s">
        <v>0</v>
      </c>
      <c r="E98" t="s">
        <v>4</v>
      </c>
      <c r="F98">
        <v>60</v>
      </c>
      <c r="G98" t="s">
        <v>9</v>
      </c>
      <c r="H98" t="s">
        <v>2</v>
      </c>
      <c r="I98">
        <v>3.6</v>
      </c>
      <c r="J98">
        <v>9</v>
      </c>
      <c r="K98" t="s">
        <v>2</v>
      </c>
      <c r="L98" t="s">
        <v>1</v>
      </c>
      <c r="M98" t="s">
        <v>2</v>
      </c>
      <c r="N98" t="s">
        <v>0</v>
      </c>
    </row>
    <row r="99" spans="1:14" x14ac:dyDescent="0.3">
      <c r="A99">
        <v>98</v>
      </c>
      <c r="B99">
        <v>28</v>
      </c>
      <c r="C99">
        <v>31.3</v>
      </c>
      <c r="D99" t="s">
        <v>0</v>
      </c>
      <c r="E99" t="s">
        <v>8</v>
      </c>
      <c r="F99">
        <v>15</v>
      </c>
      <c r="G99" t="s">
        <v>9</v>
      </c>
      <c r="H99" t="s">
        <v>1</v>
      </c>
      <c r="I99">
        <v>2.1</v>
      </c>
      <c r="J99">
        <v>6</v>
      </c>
      <c r="K99" t="s">
        <v>2</v>
      </c>
      <c r="L99" t="s">
        <v>1</v>
      </c>
      <c r="M99" t="s">
        <v>2</v>
      </c>
      <c r="N99" t="s">
        <v>0</v>
      </c>
    </row>
    <row r="100" spans="1:14" x14ac:dyDescent="0.3">
      <c r="A100">
        <v>99</v>
      </c>
      <c r="B100">
        <v>18</v>
      </c>
      <c r="C100">
        <v>24.4</v>
      </c>
      <c r="D100" t="s">
        <v>0</v>
      </c>
      <c r="E100" t="s">
        <v>8</v>
      </c>
      <c r="F100">
        <v>0</v>
      </c>
      <c r="G100" t="s">
        <v>9</v>
      </c>
      <c r="H100" t="s">
        <v>6</v>
      </c>
      <c r="I100">
        <v>1.6</v>
      </c>
      <c r="J100">
        <v>8</v>
      </c>
      <c r="K100" t="s">
        <v>1</v>
      </c>
      <c r="L100" t="s">
        <v>2</v>
      </c>
      <c r="M100" t="s">
        <v>1</v>
      </c>
      <c r="N100" t="s">
        <v>0</v>
      </c>
    </row>
    <row r="101" spans="1:14" x14ac:dyDescent="0.3">
      <c r="A101">
        <v>100</v>
      </c>
      <c r="B101">
        <v>33</v>
      </c>
      <c r="C101">
        <v>25.9</v>
      </c>
      <c r="D101" t="s">
        <v>5</v>
      </c>
      <c r="E101" t="s">
        <v>4</v>
      </c>
      <c r="F101">
        <v>45</v>
      </c>
      <c r="G101" t="s">
        <v>3</v>
      </c>
      <c r="H101" t="s">
        <v>2</v>
      </c>
      <c r="I101">
        <v>3.9</v>
      </c>
      <c r="J101">
        <v>5</v>
      </c>
      <c r="K101" t="s">
        <v>1</v>
      </c>
      <c r="L101" t="s">
        <v>1</v>
      </c>
      <c r="M101" t="s">
        <v>1</v>
      </c>
      <c r="N101" t="s">
        <v>5</v>
      </c>
    </row>
    <row r="102" spans="1:14" x14ac:dyDescent="0.3">
      <c r="A102">
        <v>101</v>
      </c>
      <c r="B102">
        <v>32</v>
      </c>
      <c r="C102">
        <v>29.1</v>
      </c>
      <c r="D102" t="s">
        <v>0</v>
      </c>
      <c r="E102" t="s">
        <v>4</v>
      </c>
      <c r="F102">
        <v>45</v>
      </c>
      <c r="G102" t="s">
        <v>7</v>
      </c>
      <c r="H102" t="s">
        <v>6</v>
      </c>
      <c r="I102">
        <v>3.2</v>
      </c>
      <c r="J102">
        <v>8</v>
      </c>
      <c r="K102" t="s">
        <v>1</v>
      </c>
      <c r="L102" t="s">
        <v>6</v>
      </c>
      <c r="M102" t="s">
        <v>2</v>
      </c>
      <c r="N102" t="s">
        <v>0</v>
      </c>
    </row>
    <row r="103" spans="1:14" x14ac:dyDescent="0.3">
      <c r="A103">
        <v>102</v>
      </c>
      <c r="B103">
        <v>28</v>
      </c>
      <c r="C103">
        <v>28.5</v>
      </c>
      <c r="D103" t="s">
        <v>0</v>
      </c>
      <c r="E103" t="s">
        <v>4</v>
      </c>
      <c r="F103">
        <v>30</v>
      </c>
      <c r="G103" t="s">
        <v>3</v>
      </c>
      <c r="H103" t="s">
        <v>1</v>
      </c>
      <c r="I103">
        <v>3</v>
      </c>
      <c r="J103">
        <v>7</v>
      </c>
      <c r="K103" t="s">
        <v>6</v>
      </c>
      <c r="L103" t="s">
        <v>1</v>
      </c>
      <c r="M103" t="s">
        <v>1</v>
      </c>
      <c r="N103" t="s">
        <v>5</v>
      </c>
    </row>
    <row r="104" spans="1:14" x14ac:dyDescent="0.3">
      <c r="A104">
        <v>103</v>
      </c>
      <c r="B104">
        <v>32</v>
      </c>
      <c r="C104">
        <v>26.8</v>
      </c>
      <c r="D104" t="s">
        <v>5</v>
      </c>
      <c r="E104" t="s">
        <v>4</v>
      </c>
      <c r="F104">
        <v>0</v>
      </c>
      <c r="G104" t="s">
        <v>3</v>
      </c>
      <c r="H104" t="s">
        <v>1</v>
      </c>
      <c r="I104">
        <v>3.7</v>
      </c>
      <c r="J104">
        <v>9</v>
      </c>
      <c r="K104" t="s">
        <v>1</v>
      </c>
      <c r="L104" t="s">
        <v>2</v>
      </c>
      <c r="M104" t="s">
        <v>6</v>
      </c>
      <c r="N104" t="s">
        <v>5</v>
      </c>
    </row>
    <row r="105" spans="1:14" x14ac:dyDescent="0.3">
      <c r="A105">
        <v>104</v>
      </c>
      <c r="B105">
        <v>25</v>
      </c>
      <c r="C105">
        <v>25.3</v>
      </c>
      <c r="D105" t="s">
        <v>5</v>
      </c>
      <c r="E105" t="s">
        <v>8</v>
      </c>
      <c r="F105">
        <v>45</v>
      </c>
      <c r="G105" t="s">
        <v>3</v>
      </c>
      <c r="H105" t="s">
        <v>2</v>
      </c>
      <c r="I105">
        <v>2.2999999999999998</v>
      </c>
      <c r="J105">
        <v>7</v>
      </c>
      <c r="K105" t="s">
        <v>1</v>
      </c>
      <c r="L105" t="s">
        <v>6</v>
      </c>
      <c r="M105" t="s">
        <v>6</v>
      </c>
      <c r="N105" t="s">
        <v>0</v>
      </c>
    </row>
    <row r="106" spans="1:14" x14ac:dyDescent="0.3">
      <c r="A106">
        <v>105</v>
      </c>
      <c r="B106">
        <v>39</v>
      </c>
      <c r="C106">
        <v>33.700000000000003</v>
      </c>
      <c r="D106" t="s">
        <v>0</v>
      </c>
      <c r="E106" t="s">
        <v>4</v>
      </c>
      <c r="F106">
        <v>0</v>
      </c>
      <c r="G106" t="s">
        <v>9</v>
      </c>
      <c r="H106" t="s">
        <v>6</v>
      </c>
      <c r="I106">
        <v>1.7</v>
      </c>
      <c r="J106">
        <v>7</v>
      </c>
      <c r="K106" t="s">
        <v>2</v>
      </c>
      <c r="L106" t="s">
        <v>1</v>
      </c>
      <c r="M106" t="s">
        <v>2</v>
      </c>
      <c r="N106" t="s">
        <v>5</v>
      </c>
    </row>
    <row r="107" spans="1:14" x14ac:dyDescent="0.3">
      <c r="A107">
        <v>106</v>
      </c>
      <c r="B107">
        <v>39</v>
      </c>
      <c r="C107">
        <v>20.5</v>
      </c>
      <c r="D107" t="s">
        <v>5</v>
      </c>
      <c r="E107" t="s">
        <v>8</v>
      </c>
      <c r="F107">
        <v>0</v>
      </c>
      <c r="G107" t="s">
        <v>7</v>
      </c>
      <c r="H107" t="s">
        <v>1</v>
      </c>
      <c r="I107">
        <v>2.2999999999999998</v>
      </c>
      <c r="J107">
        <v>5</v>
      </c>
      <c r="K107" t="s">
        <v>1</v>
      </c>
      <c r="L107" t="s">
        <v>1</v>
      </c>
      <c r="M107" t="s">
        <v>2</v>
      </c>
      <c r="N107" t="s">
        <v>0</v>
      </c>
    </row>
    <row r="108" spans="1:14" x14ac:dyDescent="0.3">
      <c r="A108">
        <v>107</v>
      </c>
      <c r="B108">
        <v>39</v>
      </c>
      <c r="C108">
        <v>26.5</v>
      </c>
      <c r="D108" t="s">
        <v>0</v>
      </c>
      <c r="E108" t="s">
        <v>8</v>
      </c>
      <c r="F108">
        <v>60</v>
      </c>
      <c r="G108" t="s">
        <v>7</v>
      </c>
      <c r="H108" t="s">
        <v>2</v>
      </c>
      <c r="I108">
        <v>3.4</v>
      </c>
      <c r="J108">
        <v>9</v>
      </c>
      <c r="K108" t="s">
        <v>2</v>
      </c>
      <c r="L108" t="s">
        <v>6</v>
      </c>
      <c r="M108" t="s">
        <v>1</v>
      </c>
      <c r="N108" t="s">
        <v>0</v>
      </c>
    </row>
    <row r="109" spans="1:14" x14ac:dyDescent="0.3">
      <c r="A109">
        <v>108</v>
      </c>
      <c r="B109">
        <v>37</v>
      </c>
      <c r="C109">
        <v>33.799999999999997</v>
      </c>
      <c r="D109" t="s">
        <v>5</v>
      </c>
      <c r="E109" t="s">
        <v>4</v>
      </c>
      <c r="F109">
        <v>15</v>
      </c>
      <c r="G109" t="s">
        <v>7</v>
      </c>
      <c r="H109" t="s">
        <v>1</v>
      </c>
      <c r="I109">
        <v>3.4</v>
      </c>
      <c r="J109">
        <v>7</v>
      </c>
      <c r="K109" t="s">
        <v>6</v>
      </c>
      <c r="L109" t="s">
        <v>2</v>
      </c>
      <c r="M109" t="s">
        <v>2</v>
      </c>
      <c r="N109" t="s">
        <v>0</v>
      </c>
    </row>
    <row r="110" spans="1:14" x14ac:dyDescent="0.3">
      <c r="A110">
        <v>109</v>
      </c>
      <c r="B110">
        <v>36</v>
      </c>
      <c r="C110">
        <v>29.3</v>
      </c>
      <c r="D110" t="s">
        <v>0</v>
      </c>
      <c r="E110" t="s">
        <v>4</v>
      </c>
      <c r="F110">
        <v>0</v>
      </c>
      <c r="G110" t="s">
        <v>9</v>
      </c>
      <c r="H110" t="s">
        <v>1</v>
      </c>
      <c r="I110">
        <v>2.8</v>
      </c>
      <c r="J110">
        <v>8</v>
      </c>
      <c r="K110" t="s">
        <v>6</v>
      </c>
      <c r="L110" t="s">
        <v>6</v>
      </c>
      <c r="M110" t="s">
        <v>6</v>
      </c>
      <c r="N110" t="s">
        <v>0</v>
      </c>
    </row>
    <row r="111" spans="1:14" x14ac:dyDescent="0.3">
      <c r="A111">
        <v>110</v>
      </c>
      <c r="B111">
        <v>29</v>
      </c>
      <c r="C111">
        <v>23.6</v>
      </c>
      <c r="D111" t="s">
        <v>5</v>
      </c>
      <c r="E111" t="s">
        <v>4</v>
      </c>
      <c r="F111">
        <v>0</v>
      </c>
      <c r="G111" t="s">
        <v>9</v>
      </c>
      <c r="H111" t="s">
        <v>2</v>
      </c>
      <c r="I111">
        <v>3.4</v>
      </c>
      <c r="J111">
        <v>5</v>
      </c>
      <c r="K111" t="s">
        <v>1</v>
      </c>
      <c r="L111" t="s">
        <v>2</v>
      </c>
      <c r="M111" t="s">
        <v>6</v>
      </c>
      <c r="N111" t="s">
        <v>5</v>
      </c>
    </row>
    <row r="112" spans="1:14" x14ac:dyDescent="0.3">
      <c r="A112">
        <v>111</v>
      </c>
      <c r="B112">
        <v>39</v>
      </c>
      <c r="C112">
        <v>25.5</v>
      </c>
      <c r="D112" t="s">
        <v>5</v>
      </c>
      <c r="E112" t="s">
        <v>8</v>
      </c>
      <c r="F112">
        <v>30</v>
      </c>
      <c r="G112" t="s">
        <v>9</v>
      </c>
      <c r="H112" t="s">
        <v>1</v>
      </c>
      <c r="I112">
        <v>1.8</v>
      </c>
      <c r="J112">
        <v>8</v>
      </c>
      <c r="K112" t="s">
        <v>2</v>
      </c>
      <c r="L112" t="s">
        <v>6</v>
      </c>
      <c r="M112" t="s">
        <v>1</v>
      </c>
      <c r="N112" t="s">
        <v>5</v>
      </c>
    </row>
    <row r="113" spans="1:14" x14ac:dyDescent="0.3">
      <c r="A113">
        <v>112</v>
      </c>
      <c r="B113">
        <v>34</v>
      </c>
      <c r="C113">
        <v>29.5</v>
      </c>
      <c r="D113" t="s">
        <v>0</v>
      </c>
      <c r="E113" t="s">
        <v>4</v>
      </c>
      <c r="F113">
        <v>45</v>
      </c>
      <c r="G113" t="s">
        <v>3</v>
      </c>
      <c r="H113" t="s">
        <v>2</v>
      </c>
      <c r="I113">
        <v>1.5</v>
      </c>
      <c r="J113">
        <v>7</v>
      </c>
      <c r="K113" t="s">
        <v>2</v>
      </c>
      <c r="L113" t="s">
        <v>2</v>
      </c>
      <c r="M113" t="s">
        <v>6</v>
      </c>
      <c r="N113" t="s">
        <v>5</v>
      </c>
    </row>
    <row r="114" spans="1:14" x14ac:dyDescent="0.3">
      <c r="A114">
        <v>113</v>
      </c>
      <c r="B114">
        <v>28</v>
      </c>
      <c r="C114">
        <v>20.5</v>
      </c>
      <c r="D114" t="s">
        <v>5</v>
      </c>
      <c r="E114" t="s">
        <v>8</v>
      </c>
      <c r="F114">
        <v>15</v>
      </c>
      <c r="G114" t="s">
        <v>9</v>
      </c>
      <c r="H114" t="s">
        <v>6</v>
      </c>
      <c r="I114">
        <v>2.8</v>
      </c>
      <c r="J114">
        <v>6</v>
      </c>
      <c r="K114" t="s">
        <v>1</v>
      </c>
      <c r="L114" t="s">
        <v>1</v>
      </c>
      <c r="M114" t="s">
        <v>1</v>
      </c>
      <c r="N114" t="s">
        <v>5</v>
      </c>
    </row>
    <row r="115" spans="1:14" x14ac:dyDescent="0.3">
      <c r="A115">
        <v>114</v>
      </c>
      <c r="B115">
        <v>20</v>
      </c>
      <c r="C115">
        <v>25.1</v>
      </c>
      <c r="D115" t="s">
        <v>0</v>
      </c>
      <c r="E115" t="s">
        <v>8</v>
      </c>
      <c r="F115">
        <v>0</v>
      </c>
      <c r="G115" t="s">
        <v>7</v>
      </c>
      <c r="H115" t="s">
        <v>2</v>
      </c>
      <c r="I115">
        <v>3.7</v>
      </c>
      <c r="J115">
        <v>9</v>
      </c>
      <c r="K115" t="s">
        <v>6</v>
      </c>
      <c r="L115" t="s">
        <v>1</v>
      </c>
      <c r="M115" t="s">
        <v>6</v>
      </c>
      <c r="N115" t="s">
        <v>5</v>
      </c>
    </row>
    <row r="116" spans="1:14" x14ac:dyDescent="0.3">
      <c r="A116">
        <v>115</v>
      </c>
      <c r="B116">
        <v>27</v>
      </c>
      <c r="C116">
        <v>20.399999999999999</v>
      </c>
      <c r="D116" t="s">
        <v>0</v>
      </c>
      <c r="E116" t="s">
        <v>8</v>
      </c>
      <c r="F116">
        <v>15</v>
      </c>
      <c r="G116" t="s">
        <v>3</v>
      </c>
      <c r="H116" t="s">
        <v>6</v>
      </c>
      <c r="I116">
        <v>3.6</v>
      </c>
      <c r="J116">
        <v>7</v>
      </c>
      <c r="K116" t="s">
        <v>2</v>
      </c>
      <c r="L116" t="s">
        <v>6</v>
      </c>
      <c r="M116" t="s">
        <v>2</v>
      </c>
      <c r="N116" t="s">
        <v>0</v>
      </c>
    </row>
    <row r="117" spans="1:14" x14ac:dyDescent="0.3">
      <c r="A117">
        <v>116</v>
      </c>
      <c r="B117">
        <v>31</v>
      </c>
      <c r="C117">
        <v>28.2</v>
      </c>
      <c r="D117" t="s">
        <v>0</v>
      </c>
      <c r="E117" t="s">
        <v>8</v>
      </c>
      <c r="F117">
        <v>30</v>
      </c>
      <c r="G117" t="s">
        <v>3</v>
      </c>
      <c r="H117" t="s">
        <v>6</v>
      </c>
      <c r="I117">
        <v>2.1</v>
      </c>
      <c r="J117">
        <v>6</v>
      </c>
      <c r="K117" t="s">
        <v>2</v>
      </c>
      <c r="L117" t="s">
        <v>1</v>
      </c>
      <c r="M117" t="s">
        <v>1</v>
      </c>
      <c r="N117" t="s">
        <v>0</v>
      </c>
    </row>
    <row r="118" spans="1:14" x14ac:dyDescent="0.3">
      <c r="A118">
        <v>117</v>
      </c>
      <c r="B118">
        <v>34</v>
      </c>
      <c r="C118">
        <v>26.9</v>
      </c>
      <c r="D118" t="s">
        <v>5</v>
      </c>
      <c r="E118" t="s">
        <v>8</v>
      </c>
      <c r="F118">
        <v>15</v>
      </c>
      <c r="G118" t="s">
        <v>9</v>
      </c>
      <c r="H118" t="s">
        <v>2</v>
      </c>
      <c r="I118">
        <v>1.9</v>
      </c>
      <c r="J118">
        <v>6</v>
      </c>
      <c r="K118" t="s">
        <v>2</v>
      </c>
      <c r="L118" t="s">
        <v>1</v>
      </c>
      <c r="M118" t="s">
        <v>2</v>
      </c>
      <c r="N118" t="s">
        <v>0</v>
      </c>
    </row>
    <row r="119" spans="1:14" x14ac:dyDescent="0.3">
      <c r="A119">
        <v>118</v>
      </c>
      <c r="B119">
        <v>23</v>
      </c>
      <c r="C119">
        <v>34.200000000000003</v>
      </c>
      <c r="D119" t="s">
        <v>5</v>
      </c>
      <c r="E119" t="s">
        <v>8</v>
      </c>
      <c r="F119">
        <v>60</v>
      </c>
      <c r="G119" t="s">
        <v>3</v>
      </c>
      <c r="H119" t="s">
        <v>6</v>
      </c>
      <c r="I119">
        <v>3.2</v>
      </c>
      <c r="J119">
        <v>9</v>
      </c>
      <c r="K119" t="s">
        <v>1</v>
      </c>
      <c r="L119" t="s">
        <v>1</v>
      </c>
      <c r="M119" t="s">
        <v>1</v>
      </c>
      <c r="N119" t="s">
        <v>5</v>
      </c>
    </row>
    <row r="120" spans="1:14" x14ac:dyDescent="0.3">
      <c r="A120">
        <v>119</v>
      </c>
      <c r="B120">
        <v>38</v>
      </c>
      <c r="C120">
        <v>23.7</v>
      </c>
      <c r="D120" t="s">
        <v>5</v>
      </c>
      <c r="E120" t="s">
        <v>4</v>
      </c>
      <c r="F120">
        <v>45</v>
      </c>
      <c r="G120" t="s">
        <v>7</v>
      </c>
      <c r="H120" t="s">
        <v>1</v>
      </c>
      <c r="I120">
        <v>2.2999999999999998</v>
      </c>
      <c r="J120">
        <v>7</v>
      </c>
      <c r="K120" t="s">
        <v>1</v>
      </c>
      <c r="L120" t="s">
        <v>2</v>
      </c>
      <c r="M120" t="s">
        <v>6</v>
      </c>
      <c r="N120" t="s">
        <v>0</v>
      </c>
    </row>
    <row r="121" spans="1:14" x14ac:dyDescent="0.3">
      <c r="A121">
        <v>120</v>
      </c>
      <c r="B121">
        <v>27</v>
      </c>
      <c r="C121">
        <v>26.1</v>
      </c>
      <c r="D121" t="s">
        <v>0</v>
      </c>
      <c r="E121" t="s">
        <v>4</v>
      </c>
      <c r="F121">
        <v>30</v>
      </c>
      <c r="G121" t="s">
        <v>7</v>
      </c>
      <c r="H121" t="s">
        <v>2</v>
      </c>
      <c r="I121">
        <v>3.1</v>
      </c>
      <c r="J121">
        <v>5</v>
      </c>
      <c r="K121" t="s">
        <v>1</v>
      </c>
      <c r="L121" t="s">
        <v>1</v>
      </c>
      <c r="M121" t="s">
        <v>1</v>
      </c>
      <c r="N121" t="s">
        <v>5</v>
      </c>
    </row>
    <row r="122" spans="1:14" x14ac:dyDescent="0.3">
      <c r="A122">
        <v>121</v>
      </c>
      <c r="B122">
        <v>32</v>
      </c>
      <c r="C122">
        <v>28.1</v>
      </c>
      <c r="D122" t="s">
        <v>0</v>
      </c>
      <c r="E122" t="s">
        <v>8</v>
      </c>
      <c r="F122">
        <v>60</v>
      </c>
      <c r="G122" t="s">
        <v>3</v>
      </c>
      <c r="H122" t="s">
        <v>2</v>
      </c>
      <c r="I122">
        <v>2.2999999999999998</v>
      </c>
      <c r="J122">
        <v>8</v>
      </c>
      <c r="K122" t="s">
        <v>1</v>
      </c>
      <c r="L122" t="s">
        <v>2</v>
      </c>
      <c r="M122" t="s">
        <v>2</v>
      </c>
      <c r="N122" t="s">
        <v>5</v>
      </c>
    </row>
    <row r="123" spans="1:14" x14ac:dyDescent="0.3">
      <c r="A123">
        <v>122</v>
      </c>
      <c r="B123">
        <v>21</v>
      </c>
      <c r="C123">
        <v>31.9</v>
      </c>
      <c r="D123" t="s">
        <v>5</v>
      </c>
      <c r="E123" t="s">
        <v>4</v>
      </c>
      <c r="F123">
        <v>60</v>
      </c>
      <c r="G123" t="s">
        <v>3</v>
      </c>
      <c r="H123" t="s">
        <v>2</v>
      </c>
      <c r="I123">
        <v>1.6</v>
      </c>
      <c r="J123">
        <v>8</v>
      </c>
      <c r="K123" t="s">
        <v>6</v>
      </c>
      <c r="L123" t="s">
        <v>1</v>
      </c>
      <c r="M123" t="s">
        <v>1</v>
      </c>
      <c r="N123" t="s">
        <v>0</v>
      </c>
    </row>
    <row r="124" spans="1:14" x14ac:dyDescent="0.3">
      <c r="A124">
        <v>123</v>
      </c>
      <c r="B124">
        <v>29</v>
      </c>
      <c r="C124">
        <v>24.7</v>
      </c>
      <c r="D124" t="s">
        <v>5</v>
      </c>
      <c r="E124" t="s">
        <v>8</v>
      </c>
      <c r="F124">
        <v>45</v>
      </c>
      <c r="G124" t="s">
        <v>7</v>
      </c>
      <c r="H124" t="s">
        <v>1</v>
      </c>
      <c r="I124">
        <v>3</v>
      </c>
      <c r="J124">
        <v>7</v>
      </c>
      <c r="K124" t="s">
        <v>2</v>
      </c>
      <c r="L124" t="s">
        <v>6</v>
      </c>
      <c r="M124" t="s">
        <v>2</v>
      </c>
      <c r="N124" t="s">
        <v>5</v>
      </c>
    </row>
    <row r="125" spans="1:14" x14ac:dyDescent="0.3">
      <c r="A125">
        <v>124</v>
      </c>
      <c r="B125">
        <v>27</v>
      </c>
      <c r="C125">
        <v>22.7</v>
      </c>
      <c r="D125" t="s">
        <v>0</v>
      </c>
      <c r="E125" t="s">
        <v>8</v>
      </c>
      <c r="F125">
        <v>0</v>
      </c>
      <c r="G125" t="s">
        <v>3</v>
      </c>
      <c r="H125" t="s">
        <v>1</v>
      </c>
      <c r="I125">
        <v>1.9</v>
      </c>
      <c r="J125">
        <v>7</v>
      </c>
      <c r="K125" t="s">
        <v>6</v>
      </c>
      <c r="L125" t="s">
        <v>1</v>
      </c>
      <c r="M125" t="s">
        <v>1</v>
      </c>
      <c r="N125" t="s">
        <v>5</v>
      </c>
    </row>
    <row r="126" spans="1:14" x14ac:dyDescent="0.3">
      <c r="A126">
        <v>125</v>
      </c>
      <c r="B126">
        <v>22</v>
      </c>
      <c r="C126">
        <v>28.3</v>
      </c>
      <c r="D126" t="s">
        <v>0</v>
      </c>
      <c r="E126" t="s">
        <v>8</v>
      </c>
      <c r="F126">
        <v>60</v>
      </c>
      <c r="G126" t="s">
        <v>7</v>
      </c>
      <c r="H126" t="s">
        <v>1</v>
      </c>
      <c r="I126">
        <v>3.5</v>
      </c>
      <c r="J126">
        <v>6</v>
      </c>
      <c r="K126" t="s">
        <v>1</v>
      </c>
      <c r="L126" t="s">
        <v>1</v>
      </c>
      <c r="M126" t="s">
        <v>1</v>
      </c>
      <c r="N126" t="s">
        <v>0</v>
      </c>
    </row>
    <row r="127" spans="1:14" x14ac:dyDescent="0.3">
      <c r="A127">
        <v>126</v>
      </c>
      <c r="B127">
        <v>38</v>
      </c>
      <c r="C127">
        <v>29.6</v>
      </c>
      <c r="D127" t="s">
        <v>5</v>
      </c>
      <c r="E127" t="s">
        <v>4</v>
      </c>
      <c r="F127">
        <v>30</v>
      </c>
      <c r="G127" t="s">
        <v>7</v>
      </c>
      <c r="H127" t="s">
        <v>2</v>
      </c>
      <c r="I127">
        <v>3.9</v>
      </c>
      <c r="J127">
        <v>7</v>
      </c>
      <c r="K127" t="s">
        <v>6</v>
      </c>
      <c r="L127" t="s">
        <v>2</v>
      </c>
      <c r="M127" t="s">
        <v>2</v>
      </c>
      <c r="N127" t="s">
        <v>0</v>
      </c>
    </row>
    <row r="128" spans="1:14" x14ac:dyDescent="0.3">
      <c r="A128">
        <v>127</v>
      </c>
      <c r="B128">
        <v>22</v>
      </c>
      <c r="C128">
        <v>19.8</v>
      </c>
      <c r="D128" t="s">
        <v>0</v>
      </c>
      <c r="E128" t="s">
        <v>4</v>
      </c>
      <c r="F128">
        <v>30</v>
      </c>
      <c r="G128" t="s">
        <v>3</v>
      </c>
      <c r="H128" t="s">
        <v>2</v>
      </c>
      <c r="I128">
        <v>3</v>
      </c>
      <c r="J128">
        <v>6</v>
      </c>
      <c r="K128" t="s">
        <v>2</v>
      </c>
      <c r="L128" t="s">
        <v>2</v>
      </c>
      <c r="M128" t="s">
        <v>1</v>
      </c>
      <c r="N128" t="s">
        <v>0</v>
      </c>
    </row>
    <row r="129" spans="1:14" x14ac:dyDescent="0.3">
      <c r="A129">
        <v>128</v>
      </c>
      <c r="B129">
        <v>32</v>
      </c>
      <c r="C129">
        <v>19.2</v>
      </c>
      <c r="D129" t="s">
        <v>5</v>
      </c>
      <c r="E129" t="s">
        <v>4</v>
      </c>
      <c r="F129">
        <v>45</v>
      </c>
      <c r="G129" t="s">
        <v>3</v>
      </c>
      <c r="H129" t="s">
        <v>6</v>
      </c>
      <c r="I129">
        <v>3.4</v>
      </c>
      <c r="J129">
        <v>8</v>
      </c>
      <c r="K129" t="s">
        <v>2</v>
      </c>
      <c r="L129" t="s">
        <v>1</v>
      </c>
      <c r="M129" t="s">
        <v>2</v>
      </c>
      <c r="N129" t="s">
        <v>5</v>
      </c>
    </row>
    <row r="130" spans="1:14" x14ac:dyDescent="0.3">
      <c r="A130">
        <v>129</v>
      </c>
      <c r="B130">
        <v>33</v>
      </c>
      <c r="C130">
        <v>33.4</v>
      </c>
      <c r="D130" t="s">
        <v>0</v>
      </c>
      <c r="E130" t="s">
        <v>8</v>
      </c>
      <c r="F130">
        <v>60</v>
      </c>
      <c r="G130" t="s">
        <v>7</v>
      </c>
      <c r="H130" t="s">
        <v>6</v>
      </c>
      <c r="I130">
        <v>3.4</v>
      </c>
      <c r="J130">
        <v>8</v>
      </c>
      <c r="K130" t="s">
        <v>1</v>
      </c>
      <c r="L130" t="s">
        <v>1</v>
      </c>
      <c r="M130" t="s">
        <v>6</v>
      </c>
      <c r="N130" t="s">
        <v>0</v>
      </c>
    </row>
    <row r="131" spans="1:14" x14ac:dyDescent="0.3">
      <c r="A131">
        <v>130</v>
      </c>
      <c r="B131">
        <v>24</v>
      </c>
      <c r="C131">
        <v>31.7</v>
      </c>
      <c r="D131" t="s">
        <v>0</v>
      </c>
      <c r="E131" t="s">
        <v>8</v>
      </c>
      <c r="F131">
        <v>0</v>
      </c>
      <c r="G131" t="s">
        <v>3</v>
      </c>
      <c r="H131" t="s">
        <v>6</v>
      </c>
      <c r="I131">
        <v>3.7</v>
      </c>
      <c r="J131">
        <v>9</v>
      </c>
      <c r="K131" t="s">
        <v>2</v>
      </c>
      <c r="L131" t="s">
        <v>1</v>
      </c>
      <c r="M131" t="s">
        <v>1</v>
      </c>
      <c r="N131" t="s">
        <v>0</v>
      </c>
    </row>
    <row r="132" spans="1:14" x14ac:dyDescent="0.3">
      <c r="A132">
        <v>131</v>
      </c>
      <c r="B132">
        <v>27</v>
      </c>
      <c r="C132">
        <v>19.899999999999999</v>
      </c>
      <c r="D132" t="s">
        <v>0</v>
      </c>
      <c r="E132" t="s">
        <v>8</v>
      </c>
      <c r="F132">
        <v>45</v>
      </c>
      <c r="G132" t="s">
        <v>3</v>
      </c>
      <c r="H132" t="s">
        <v>2</v>
      </c>
      <c r="I132">
        <v>3.6</v>
      </c>
      <c r="J132">
        <v>5</v>
      </c>
      <c r="K132" t="s">
        <v>2</v>
      </c>
      <c r="L132" t="s">
        <v>6</v>
      </c>
      <c r="M132" t="s">
        <v>6</v>
      </c>
      <c r="N132" t="s">
        <v>0</v>
      </c>
    </row>
    <row r="133" spans="1:14" x14ac:dyDescent="0.3">
      <c r="A133">
        <v>132</v>
      </c>
      <c r="B133">
        <v>31</v>
      </c>
      <c r="C133">
        <v>19.399999999999999</v>
      </c>
      <c r="D133" t="s">
        <v>5</v>
      </c>
      <c r="E133" t="s">
        <v>4</v>
      </c>
      <c r="F133">
        <v>45</v>
      </c>
      <c r="G133" t="s">
        <v>9</v>
      </c>
      <c r="H133" t="s">
        <v>6</v>
      </c>
      <c r="I133">
        <v>2.1</v>
      </c>
      <c r="J133">
        <v>7</v>
      </c>
      <c r="K133" t="s">
        <v>2</v>
      </c>
      <c r="L133" t="s">
        <v>1</v>
      </c>
      <c r="M133" t="s">
        <v>1</v>
      </c>
      <c r="N133" t="s">
        <v>5</v>
      </c>
    </row>
    <row r="134" spans="1:14" x14ac:dyDescent="0.3">
      <c r="A134">
        <v>133</v>
      </c>
      <c r="B134">
        <v>22</v>
      </c>
      <c r="C134">
        <v>20.8</v>
      </c>
      <c r="D134" t="s">
        <v>5</v>
      </c>
      <c r="E134" t="s">
        <v>8</v>
      </c>
      <c r="F134">
        <v>15</v>
      </c>
      <c r="G134" t="s">
        <v>3</v>
      </c>
      <c r="H134" t="s">
        <v>6</v>
      </c>
      <c r="I134">
        <v>2.6</v>
      </c>
      <c r="J134">
        <v>5</v>
      </c>
      <c r="K134" t="s">
        <v>2</v>
      </c>
      <c r="L134" t="s">
        <v>2</v>
      </c>
      <c r="M134" t="s">
        <v>6</v>
      </c>
      <c r="N134" t="s">
        <v>0</v>
      </c>
    </row>
    <row r="135" spans="1:14" x14ac:dyDescent="0.3">
      <c r="A135">
        <v>134</v>
      </c>
      <c r="B135">
        <v>22</v>
      </c>
      <c r="C135">
        <v>27.6</v>
      </c>
      <c r="D135" t="s">
        <v>5</v>
      </c>
      <c r="E135" t="s">
        <v>4</v>
      </c>
      <c r="F135">
        <v>30</v>
      </c>
      <c r="G135" t="s">
        <v>9</v>
      </c>
      <c r="H135" t="s">
        <v>6</v>
      </c>
      <c r="I135">
        <v>1.8</v>
      </c>
      <c r="J135">
        <v>6</v>
      </c>
      <c r="K135" t="s">
        <v>6</v>
      </c>
      <c r="L135" t="s">
        <v>1</v>
      </c>
      <c r="M135" t="s">
        <v>1</v>
      </c>
      <c r="N135" t="s">
        <v>5</v>
      </c>
    </row>
    <row r="136" spans="1:14" x14ac:dyDescent="0.3">
      <c r="A136">
        <v>135</v>
      </c>
      <c r="B136">
        <v>20</v>
      </c>
      <c r="C136">
        <v>20.3</v>
      </c>
      <c r="D136" t="s">
        <v>5</v>
      </c>
      <c r="E136" t="s">
        <v>4</v>
      </c>
      <c r="F136">
        <v>60</v>
      </c>
      <c r="G136" t="s">
        <v>3</v>
      </c>
      <c r="H136" t="s">
        <v>2</v>
      </c>
      <c r="I136">
        <v>3.3</v>
      </c>
      <c r="J136">
        <v>7</v>
      </c>
      <c r="K136" t="s">
        <v>6</v>
      </c>
      <c r="L136" t="s">
        <v>2</v>
      </c>
      <c r="M136" t="s">
        <v>1</v>
      </c>
      <c r="N136" t="s">
        <v>5</v>
      </c>
    </row>
    <row r="137" spans="1:14" x14ac:dyDescent="0.3">
      <c r="A137">
        <v>136</v>
      </c>
      <c r="B137">
        <v>25</v>
      </c>
      <c r="C137">
        <v>27.9</v>
      </c>
      <c r="D137" t="s">
        <v>0</v>
      </c>
      <c r="E137" t="s">
        <v>4</v>
      </c>
      <c r="F137">
        <v>60</v>
      </c>
      <c r="G137" t="s">
        <v>7</v>
      </c>
      <c r="H137" t="s">
        <v>2</v>
      </c>
      <c r="I137">
        <v>3.9</v>
      </c>
      <c r="J137">
        <v>9</v>
      </c>
      <c r="K137" t="s">
        <v>1</v>
      </c>
      <c r="L137" t="s">
        <v>1</v>
      </c>
      <c r="M137" t="s">
        <v>1</v>
      </c>
      <c r="N137" t="s">
        <v>0</v>
      </c>
    </row>
    <row r="138" spans="1:14" x14ac:dyDescent="0.3">
      <c r="A138">
        <v>137</v>
      </c>
      <c r="B138">
        <v>30</v>
      </c>
      <c r="C138">
        <v>32.9</v>
      </c>
      <c r="D138" t="s">
        <v>0</v>
      </c>
      <c r="E138" t="s">
        <v>8</v>
      </c>
      <c r="F138">
        <v>30</v>
      </c>
      <c r="G138" t="s">
        <v>7</v>
      </c>
      <c r="H138" t="s">
        <v>1</v>
      </c>
      <c r="I138">
        <v>1.5</v>
      </c>
      <c r="J138">
        <v>5</v>
      </c>
      <c r="K138" t="s">
        <v>6</v>
      </c>
      <c r="L138" t="s">
        <v>2</v>
      </c>
      <c r="M138" t="s">
        <v>1</v>
      </c>
      <c r="N138" t="s">
        <v>0</v>
      </c>
    </row>
    <row r="139" spans="1:14" x14ac:dyDescent="0.3">
      <c r="A139">
        <v>138</v>
      </c>
      <c r="B139">
        <v>36</v>
      </c>
      <c r="C139">
        <v>30.6</v>
      </c>
      <c r="D139" t="s">
        <v>5</v>
      </c>
      <c r="E139" t="s">
        <v>4</v>
      </c>
      <c r="F139">
        <v>0</v>
      </c>
      <c r="G139" t="s">
        <v>7</v>
      </c>
      <c r="H139" t="s">
        <v>1</v>
      </c>
      <c r="I139">
        <v>2.2999999999999998</v>
      </c>
      <c r="J139">
        <v>6</v>
      </c>
      <c r="K139" t="s">
        <v>1</v>
      </c>
      <c r="L139" t="s">
        <v>6</v>
      </c>
      <c r="M139" t="s">
        <v>1</v>
      </c>
      <c r="N139" t="s">
        <v>5</v>
      </c>
    </row>
    <row r="140" spans="1:14" x14ac:dyDescent="0.3">
      <c r="A140">
        <v>139</v>
      </c>
      <c r="B140">
        <v>38</v>
      </c>
      <c r="C140">
        <v>21.5</v>
      </c>
      <c r="D140" t="s">
        <v>0</v>
      </c>
      <c r="E140" t="s">
        <v>4</v>
      </c>
      <c r="F140">
        <v>45</v>
      </c>
      <c r="G140" t="s">
        <v>9</v>
      </c>
      <c r="H140" t="s">
        <v>6</v>
      </c>
      <c r="I140">
        <v>2</v>
      </c>
      <c r="J140">
        <v>6</v>
      </c>
      <c r="K140" t="s">
        <v>2</v>
      </c>
      <c r="L140" t="s">
        <v>6</v>
      </c>
      <c r="M140" t="s">
        <v>6</v>
      </c>
      <c r="N140" t="s">
        <v>5</v>
      </c>
    </row>
    <row r="141" spans="1:14" x14ac:dyDescent="0.3">
      <c r="A141">
        <v>140</v>
      </c>
      <c r="B141">
        <v>35</v>
      </c>
      <c r="C141">
        <v>26.3</v>
      </c>
      <c r="D141" t="s">
        <v>0</v>
      </c>
      <c r="E141" t="s">
        <v>4</v>
      </c>
      <c r="F141">
        <v>30</v>
      </c>
      <c r="G141" t="s">
        <v>7</v>
      </c>
      <c r="H141" t="s">
        <v>2</v>
      </c>
      <c r="I141">
        <v>3.7</v>
      </c>
      <c r="J141">
        <v>7</v>
      </c>
      <c r="K141" t="s">
        <v>6</v>
      </c>
      <c r="L141" t="s">
        <v>2</v>
      </c>
      <c r="M141" t="s">
        <v>6</v>
      </c>
      <c r="N141" t="s">
        <v>5</v>
      </c>
    </row>
    <row r="142" spans="1:14" x14ac:dyDescent="0.3">
      <c r="A142">
        <v>141</v>
      </c>
      <c r="B142">
        <v>30</v>
      </c>
      <c r="C142">
        <v>30.8</v>
      </c>
      <c r="D142" t="s">
        <v>5</v>
      </c>
      <c r="E142" t="s">
        <v>8</v>
      </c>
      <c r="F142">
        <v>15</v>
      </c>
      <c r="G142" t="s">
        <v>7</v>
      </c>
      <c r="H142" t="s">
        <v>1</v>
      </c>
      <c r="I142">
        <v>2.7</v>
      </c>
      <c r="J142">
        <v>9</v>
      </c>
      <c r="K142" t="s">
        <v>6</v>
      </c>
      <c r="L142" t="s">
        <v>2</v>
      </c>
      <c r="M142" t="s">
        <v>1</v>
      </c>
      <c r="N142" t="s">
        <v>5</v>
      </c>
    </row>
    <row r="143" spans="1:14" x14ac:dyDescent="0.3">
      <c r="A143">
        <v>142</v>
      </c>
      <c r="B143">
        <v>20</v>
      </c>
      <c r="C143">
        <v>25.6</v>
      </c>
      <c r="D143" t="s">
        <v>0</v>
      </c>
      <c r="E143" t="s">
        <v>8</v>
      </c>
      <c r="F143">
        <v>30</v>
      </c>
      <c r="G143" t="s">
        <v>9</v>
      </c>
      <c r="H143" t="s">
        <v>2</v>
      </c>
      <c r="I143">
        <v>2.2999999999999998</v>
      </c>
      <c r="J143">
        <v>7</v>
      </c>
      <c r="K143" t="s">
        <v>6</v>
      </c>
      <c r="L143" t="s">
        <v>6</v>
      </c>
      <c r="M143" t="s">
        <v>1</v>
      </c>
      <c r="N143" t="s">
        <v>5</v>
      </c>
    </row>
    <row r="144" spans="1:14" x14ac:dyDescent="0.3">
      <c r="A144">
        <v>143</v>
      </c>
      <c r="B144">
        <v>23</v>
      </c>
      <c r="C144">
        <v>29.9</v>
      </c>
      <c r="D144" t="s">
        <v>5</v>
      </c>
      <c r="E144" t="s">
        <v>8</v>
      </c>
      <c r="F144">
        <v>0</v>
      </c>
      <c r="G144" t="s">
        <v>3</v>
      </c>
      <c r="H144" t="s">
        <v>6</v>
      </c>
      <c r="I144">
        <v>3</v>
      </c>
      <c r="J144">
        <v>8</v>
      </c>
      <c r="K144" t="s">
        <v>6</v>
      </c>
      <c r="L144" t="s">
        <v>1</v>
      </c>
      <c r="M144" t="s">
        <v>2</v>
      </c>
      <c r="N144" t="s">
        <v>0</v>
      </c>
    </row>
    <row r="145" spans="1:14" x14ac:dyDescent="0.3">
      <c r="A145">
        <v>144</v>
      </c>
      <c r="B145">
        <v>39</v>
      </c>
      <c r="C145">
        <v>29</v>
      </c>
      <c r="D145" t="s">
        <v>5</v>
      </c>
      <c r="E145" t="s">
        <v>4</v>
      </c>
      <c r="F145">
        <v>0</v>
      </c>
      <c r="G145" t="s">
        <v>9</v>
      </c>
      <c r="H145" t="s">
        <v>1</v>
      </c>
      <c r="I145">
        <v>3.2</v>
      </c>
      <c r="J145">
        <v>8</v>
      </c>
      <c r="K145" t="s">
        <v>2</v>
      </c>
      <c r="L145" t="s">
        <v>2</v>
      </c>
      <c r="M145" t="s">
        <v>2</v>
      </c>
      <c r="N145" t="s">
        <v>0</v>
      </c>
    </row>
    <row r="146" spans="1:14" x14ac:dyDescent="0.3">
      <c r="A146">
        <v>145</v>
      </c>
      <c r="B146">
        <v>38</v>
      </c>
      <c r="C146">
        <v>24.5</v>
      </c>
      <c r="D146" t="s">
        <v>5</v>
      </c>
      <c r="E146" t="s">
        <v>4</v>
      </c>
      <c r="F146">
        <v>60</v>
      </c>
      <c r="G146" t="s">
        <v>9</v>
      </c>
      <c r="H146" t="s">
        <v>1</v>
      </c>
      <c r="I146">
        <v>2.6</v>
      </c>
      <c r="J146">
        <v>7</v>
      </c>
      <c r="K146" t="s">
        <v>6</v>
      </c>
      <c r="L146" t="s">
        <v>6</v>
      </c>
      <c r="M146" t="s">
        <v>2</v>
      </c>
      <c r="N146" t="s">
        <v>0</v>
      </c>
    </row>
    <row r="147" spans="1:14" x14ac:dyDescent="0.3">
      <c r="A147">
        <v>146</v>
      </c>
      <c r="B147">
        <v>34</v>
      </c>
      <c r="C147">
        <v>24.6</v>
      </c>
      <c r="D147" t="s">
        <v>5</v>
      </c>
      <c r="E147" t="s">
        <v>8</v>
      </c>
      <c r="F147">
        <v>15</v>
      </c>
      <c r="G147" t="s">
        <v>9</v>
      </c>
      <c r="H147" t="s">
        <v>2</v>
      </c>
      <c r="I147">
        <v>3.3</v>
      </c>
      <c r="J147">
        <v>8</v>
      </c>
      <c r="K147" t="s">
        <v>1</v>
      </c>
      <c r="L147" t="s">
        <v>6</v>
      </c>
      <c r="M147" t="s">
        <v>1</v>
      </c>
      <c r="N147" t="s">
        <v>0</v>
      </c>
    </row>
    <row r="148" spans="1:14" x14ac:dyDescent="0.3">
      <c r="A148">
        <v>147</v>
      </c>
      <c r="B148">
        <v>26</v>
      </c>
      <c r="C148">
        <v>31.3</v>
      </c>
      <c r="D148" t="s">
        <v>5</v>
      </c>
      <c r="E148" t="s">
        <v>4</v>
      </c>
      <c r="F148">
        <v>60</v>
      </c>
      <c r="G148" t="s">
        <v>7</v>
      </c>
      <c r="H148" t="s">
        <v>1</v>
      </c>
      <c r="I148">
        <v>3.8</v>
      </c>
      <c r="J148">
        <v>8</v>
      </c>
      <c r="K148" t="s">
        <v>2</v>
      </c>
      <c r="L148" t="s">
        <v>2</v>
      </c>
      <c r="M148" t="s">
        <v>2</v>
      </c>
      <c r="N148" t="s">
        <v>0</v>
      </c>
    </row>
    <row r="149" spans="1:14" x14ac:dyDescent="0.3">
      <c r="A149">
        <v>148</v>
      </c>
      <c r="B149">
        <v>32</v>
      </c>
      <c r="C149">
        <v>21.3</v>
      </c>
      <c r="D149" t="s">
        <v>5</v>
      </c>
      <c r="E149" t="s">
        <v>4</v>
      </c>
      <c r="F149">
        <v>30</v>
      </c>
      <c r="G149" t="s">
        <v>3</v>
      </c>
      <c r="H149" t="s">
        <v>6</v>
      </c>
      <c r="I149">
        <v>3.3</v>
      </c>
      <c r="J149">
        <v>9</v>
      </c>
      <c r="K149" t="s">
        <v>1</v>
      </c>
      <c r="L149" t="s">
        <v>6</v>
      </c>
      <c r="M149" t="s">
        <v>6</v>
      </c>
      <c r="N149" t="s">
        <v>0</v>
      </c>
    </row>
    <row r="150" spans="1:14" x14ac:dyDescent="0.3">
      <c r="A150">
        <v>149</v>
      </c>
      <c r="B150">
        <v>40</v>
      </c>
      <c r="C150">
        <v>30.2</v>
      </c>
      <c r="D150" t="s">
        <v>0</v>
      </c>
      <c r="E150" t="s">
        <v>8</v>
      </c>
      <c r="F150">
        <v>60</v>
      </c>
      <c r="G150" t="s">
        <v>9</v>
      </c>
      <c r="H150" t="s">
        <v>2</v>
      </c>
      <c r="I150">
        <v>4</v>
      </c>
      <c r="J150">
        <v>6</v>
      </c>
      <c r="K150" t="s">
        <v>2</v>
      </c>
      <c r="L150" t="s">
        <v>6</v>
      </c>
      <c r="M150" t="s">
        <v>2</v>
      </c>
      <c r="N150" t="s">
        <v>5</v>
      </c>
    </row>
    <row r="151" spans="1:14" x14ac:dyDescent="0.3">
      <c r="A151">
        <v>150</v>
      </c>
      <c r="B151">
        <v>35</v>
      </c>
      <c r="C151">
        <v>27.9</v>
      </c>
      <c r="D151" t="s">
        <v>5</v>
      </c>
      <c r="E151" t="s">
        <v>4</v>
      </c>
      <c r="F151">
        <v>60</v>
      </c>
      <c r="G151" t="s">
        <v>9</v>
      </c>
      <c r="H151" t="s">
        <v>2</v>
      </c>
      <c r="I151">
        <v>2.2999999999999998</v>
      </c>
      <c r="J151">
        <v>8</v>
      </c>
      <c r="K151" t="s">
        <v>1</v>
      </c>
      <c r="L151" t="s">
        <v>6</v>
      </c>
      <c r="M151" t="s">
        <v>6</v>
      </c>
      <c r="N151" t="s">
        <v>0</v>
      </c>
    </row>
    <row r="152" spans="1:14" x14ac:dyDescent="0.3">
      <c r="A152">
        <v>151</v>
      </c>
      <c r="B152">
        <v>22</v>
      </c>
      <c r="C152">
        <v>34.5</v>
      </c>
      <c r="D152" t="s">
        <v>0</v>
      </c>
      <c r="E152" t="s">
        <v>8</v>
      </c>
      <c r="F152">
        <v>45</v>
      </c>
      <c r="G152" t="s">
        <v>3</v>
      </c>
      <c r="H152" t="s">
        <v>1</v>
      </c>
      <c r="I152">
        <v>2.4</v>
      </c>
      <c r="J152">
        <v>9</v>
      </c>
      <c r="K152" t="s">
        <v>1</v>
      </c>
      <c r="L152" t="s">
        <v>1</v>
      </c>
      <c r="M152" t="s">
        <v>2</v>
      </c>
      <c r="N152" t="s">
        <v>0</v>
      </c>
    </row>
    <row r="153" spans="1:14" x14ac:dyDescent="0.3">
      <c r="A153">
        <v>152</v>
      </c>
      <c r="B153">
        <v>31</v>
      </c>
      <c r="C153">
        <v>26.8</v>
      </c>
      <c r="D153" t="s">
        <v>0</v>
      </c>
      <c r="E153" t="s">
        <v>4</v>
      </c>
      <c r="F153">
        <v>60</v>
      </c>
      <c r="G153" t="s">
        <v>9</v>
      </c>
      <c r="H153" t="s">
        <v>6</v>
      </c>
      <c r="I153">
        <v>1.9</v>
      </c>
      <c r="J153">
        <v>7</v>
      </c>
      <c r="K153" t="s">
        <v>1</v>
      </c>
      <c r="L153" t="s">
        <v>2</v>
      </c>
      <c r="M153" t="s">
        <v>6</v>
      </c>
      <c r="N153" t="s">
        <v>5</v>
      </c>
    </row>
    <row r="154" spans="1:14" x14ac:dyDescent="0.3">
      <c r="A154">
        <v>153</v>
      </c>
      <c r="B154">
        <v>20</v>
      </c>
      <c r="C154">
        <v>22.6</v>
      </c>
      <c r="D154" t="s">
        <v>5</v>
      </c>
      <c r="E154" t="s">
        <v>4</v>
      </c>
      <c r="F154">
        <v>30</v>
      </c>
      <c r="G154" t="s">
        <v>3</v>
      </c>
      <c r="H154" t="s">
        <v>1</v>
      </c>
      <c r="I154">
        <v>1.7</v>
      </c>
      <c r="J154">
        <v>6</v>
      </c>
      <c r="K154" t="s">
        <v>1</v>
      </c>
      <c r="L154" t="s">
        <v>1</v>
      </c>
      <c r="M154" t="s">
        <v>2</v>
      </c>
      <c r="N154" t="s">
        <v>0</v>
      </c>
    </row>
    <row r="155" spans="1:14" x14ac:dyDescent="0.3">
      <c r="A155">
        <v>154</v>
      </c>
      <c r="B155">
        <v>39</v>
      </c>
      <c r="C155">
        <v>28.8</v>
      </c>
      <c r="D155" t="s">
        <v>5</v>
      </c>
      <c r="E155" t="s">
        <v>4</v>
      </c>
      <c r="F155">
        <v>0</v>
      </c>
      <c r="G155" t="s">
        <v>9</v>
      </c>
      <c r="H155" t="s">
        <v>2</v>
      </c>
      <c r="I155">
        <v>3.9</v>
      </c>
      <c r="J155">
        <v>9</v>
      </c>
      <c r="K155" t="s">
        <v>6</v>
      </c>
      <c r="L155" t="s">
        <v>1</v>
      </c>
      <c r="M155" t="s">
        <v>2</v>
      </c>
      <c r="N155" t="s">
        <v>5</v>
      </c>
    </row>
    <row r="156" spans="1:14" x14ac:dyDescent="0.3">
      <c r="A156">
        <v>155</v>
      </c>
      <c r="B156">
        <v>37</v>
      </c>
      <c r="C156">
        <v>29</v>
      </c>
      <c r="D156" t="s">
        <v>5</v>
      </c>
      <c r="E156" t="s">
        <v>8</v>
      </c>
      <c r="F156">
        <v>30</v>
      </c>
      <c r="G156" t="s">
        <v>7</v>
      </c>
      <c r="H156" t="s">
        <v>2</v>
      </c>
      <c r="I156">
        <v>3.5</v>
      </c>
      <c r="J156">
        <v>8</v>
      </c>
      <c r="K156" t="s">
        <v>6</v>
      </c>
      <c r="L156" t="s">
        <v>6</v>
      </c>
      <c r="M156" t="s">
        <v>2</v>
      </c>
      <c r="N156" t="s">
        <v>0</v>
      </c>
    </row>
    <row r="157" spans="1:14" x14ac:dyDescent="0.3">
      <c r="A157">
        <v>156</v>
      </c>
      <c r="B157">
        <v>23</v>
      </c>
      <c r="C157">
        <v>25.8</v>
      </c>
      <c r="D157" t="s">
        <v>5</v>
      </c>
      <c r="E157" t="s">
        <v>8</v>
      </c>
      <c r="F157">
        <v>15</v>
      </c>
      <c r="G157" t="s">
        <v>7</v>
      </c>
      <c r="H157" t="s">
        <v>1</v>
      </c>
      <c r="I157">
        <v>1.9</v>
      </c>
      <c r="J157">
        <v>7</v>
      </c>
      <c r="K157" t="s">
        <v>1</v>
      </c>
      <c r="L157" t="s">
        <v>6</v>
      </c>
      <c r="M157" t="s">
        <v>6</v>
      </c>
      <c r="N157" t="s">
        <v>0</v>
      </c>
    </row>
    <row r="158" spans="1:14" x14ac:dyDescent="0.3">
      <c r="A158">
        <v>157</v>
      </c>
      <c r="B158">
        <v>29</v>
      </c>
      <c r="C158">
        <v>27</v>
      </c>
      <c r="D158" t="s">
        <v>0</v>
      </c>
      <c r="E158" t="s">
        <v>8</v>
      </c>
      <c r="F158">
        <v>15</v>
      </c>
      <c r="G158" t="s">
        <v>7</v>
      </c>
      <c r="H158" t="s">
        <v>2</v>
      </c>
      <c r="I158">
        <v>2.2000000000000002</v>
      </c>
      <c r="J158">
        <v>6</v>
      </c>
      <c r="K158" t="s">
        <v>2</v>
      </c>
      <c r="L158" t="s">
        <v>2</v>
      </c>
      <c r="M158" t="s">
        <v>2</v>
      </c>
      <c r="N158" t="s">
        <v>5</v>
      </c>
    </row>
    <row r="159" spans="1:14" x14ac:dyDescent="0.3">
      <c r="A159">
        <v>158</v>
      </c>
      <c r="B159">
        <v>30</v>
      </c>
      <c r="C159">
        <v>32.799999999999997</v>
      </c>
      <c r="D159" t="s">
        <v>5</v>
      </c>
      <c r="E159" t="s">
        <v>4</v>
      </c>
      <c r="F159">
        <v>15</v>
      </c>
      <c r="G159" t="s">
        <v>7</v>
      </c>
      <c r="H159" t="s">
        <v>1</v>
      </c>
      <c r="I159">
        <v>3.3</v>
      </c>
      <c r="J159">
        <v>6</v>
      </c>
      <c r="K159" t="s">
        <v>2</v>
      </c>
      <c r="L159" t="s">
        <v>6</v>
      </c>
      <c r="M159" t="s">
        <v>1</v>
      </c>
      <c r="N159" t="s">
        <v>5</v>
      </c>
    </row>
    <row r="160" spans="1:14" x14ac:dyDescent="0.3">
      <c r="A160">
        <v>159</v>
      </c>
      <c r="B160">
        <v>33</v>
      </c>
      <c r="C160">
        <v>33</v>
      </c>
      <c r="D160" t="s">
        <v>5</v>
      </c>
      <c r="E160" t="s">
        <v>4</v>
      </c>
      <c r="F160">
        <v>0</v>
      </c>
      <c r="G160" t="s">
        <v>7</v>
      </c>
      <c r="H160" t="s">
        <v>1</v>
      </c>
      <c r="I160">
        <v>2.6</v>
      </c>
      <c r="J160">
        <v>6</v>
      </c>
      <c r="K160" t="s">
        <v>2</v>
      </c>
      <c r="L160" t="s">
        <v>1</v>
      </c>
      <c r="M160" t="s">
        <v>6</v>
      </c>
      <c r="N160" t="s">
        <v>0</v>
      </c>
    </row>
    <row r="161" spans="1:14" x14ac:dyDescent="0.3">
      <c r="A161">
        <v>160</v>
      </c>
      <c r="B161">
        <v>19</v>
      </c>
      <c r="C161">
        <v>23.1</v>
      </c>
      <c r="D161" t="s">
        <v>5</v>
      </c>
      <c r="E161" t="s">
        <v>8</v>
      </c>
      <c r="F161">
        <v>60</v>
      </c>
      <c r="G161" t="s">
        <v>9</v>
      </c>
      <c r="H161" t="s">
        <v>2</v>
      </c>
      <c r="I161">
        <v>2.6</v>
      </c>
      <c r="J161">
        <v>7</v>
      </c>
      <c r="K161" t="s">
        <v>1</v>
      </c>
      <c r="L161" t="s">
        <v>6</v>
      </c>
      <c r="M161" t="s">
        <v>6</v>
      </c>
      <c r="N161" t="s">
        <v>5</v>
      </c>
    </row>
    <row r="162" spans="1:14" x14ac:dyDescent="0.3">
      <c r="A162">
        <v>161</v>
      </c>
      <c r="B162">
        <v>19</v>
      </c>
      <c r="C162">
        <v>25.1</v>
      </c>
      <c r="D162" t="s">
        <v>0</v>
      </c>
      <c r="E162" t="s">
        <v>8</v>
      </c>
      <c r="F162">
        <v>60</v>
      </c>
      <c r="G162" t="s">
        <v>7</v>
      </c>
      <c r="H162" t="s">
        <v>2</v>
      </c>
      <c r="I162">
        <v>2.5</v>
      </c>
      <c r="J162">
        <v>8</v>
      </c>
      <c r="K162" t="s">
        <v>1</v>
      </c>
      <c r="L162" t="s">
        <v>6</v>
      </c>
      <c r="M162" t="s">
        <v>1</v>
      </c>
      <c r="N162" t="s">
        <v>0</v>
      </c>
    </row>
    <row r="163" spans="1:14" x14ac:dyDescent="0.3">
      <c r="A163">
        <v>162</v>
      </c>
      <c r="B163">
        <v>22</v>
      </c>
      <c r="C163">
        <v>34.6</v>
      </c>
      <c r="D163" t="s">
        <v>5</v>
      </c>
      <c r="E163" t="s">
        <v>8</v>
      </c>
      <c r="F163">
        <v>30</v>
      </c>
      <c r="G163" t="s">
        <v>3</v>
      </c>
      <c r="H163" t="s">
        <v>6</v>
      </c>
      <c r="I163">
        <v>3.4</v>
      </c>
      <c r="J163">
        <v>6</v>
      </c>
      <c r="K163" t="s">
        <v>1</v>
      </c>
      <c r="L163" t="s">
        <v>1</v>
      </c>
      <c r="M163" t="s">
        <v>6</v>
      </c>
      <c r="N163" t="s">
        <v>0</v>
      </c>
    </row>
    <row r="164" spans="1:14" x14ac:dyDescent="0.3">
      <c r="A164">
        <v>163</v>
      </c>
      <c r="B164">
        <v>19</v>
      </c>
      <c r="C164">
        <v>19.100000000000001</v>
      </c>
      <c r="D164" t="s">
        <v>5</v>
      </c>
      <c r="E164" t="s">
        <v>8</v>
      </c>
      <c r="F164">
        <v>60</v>
      </c>
      <c r="G164" t="s">
        <v>7</v>
      </c>
      <c r="H164" t="s">
        <v>2</v>
      </c>
      <c r="I164">
        <v>3</v>
      </c>
      <c r="J164">
        <v>9</v>
      </c>
      <c r="K164" t="s">
        <v>2</v>
      </c>
      <c r="L164" t="s">
        <v>6</v>
      </c>
      <c r="M164" t="s">
        <v>1</v>
      </c>
      <c r="N164" t="s">
        <v>5</v>
      </c>
    </row>
    <row r="165" spans="1:14" x14ac:dyDescent="0.3">
      <c r="A165">
        <v>164</v>
      </c>
      <c r="B165">
        <v>23</v>
      </c>
      <c r="C165">
        <v>25</v>
      </c>
      <c r="D165" t="s">
        <v>5</v>
      </c>
      <c r="E165" t="s">
        <v>8</v>
      </c>
      <c r="F165">
        <v>60</v>
      </c>
      <c r="G165" t="s">
        <v>3</v>
      </c>
      <c r="H165" t="s">
        <v>1</v>
      </c>
      <c r="I165">
        <v>2.7</v>
      </c>
      <c r="J165">
        <v>9</v>
      </c>
      <c r="K165" t="s">
        <v>6</v>
      </c>
      <c r="L165" t="s">
        <v>6</v>
      </c>
      <c r="M165" t="s">
        <v>2</v>
      </c>
      <c r="N165" t="s">
        <v>5</v>
      </c>
    </row>
    <row r="166" spans="1:14" x14ac:dyDescent="0.3">
      <c r="A166">
        <v>165</v>
      </c>
      <c r="B166">
        <v>28</v>
      </c>
      <c r="C166">
        <v>29.6</v>
      </c>
      <c r="D166" t="s">
        <v>5</v>
      </c>
      <c r="E166" t="s">
        <v>8</v>
      </c>
      <c r="F166">
        <v>0</v>
      </c>
      <c r="G166" t="s">
        <v>3</v>
      </c>
      <c r="H166" t="s">
        <v>6</v>
      </c>
      <c r="I166">
        <v>2.2000000000000002</v>
      </c>
      <c r="J166">
        <v>9</v>
      </c>
      <c r="K166" t="s">
        <v>1</v>
      </c>
      <c r="L166" t="s">
        <v>2</v>
      </c>
      <c r="M166" t="s">
        <v>1</v>
      </c>
      <c r="N166" t="s">
        <v>0</v>
      </c>
    </row>
    <row r="167" spans="1:14" x14ac:dyDescent="0.3">
      <c r="A167">
        <v>166</v>
      </c>
      <c r="B167">
        <v>36</v>
      </c>
      <c r="C167">
        <v>26.4</v>
      </c>
      <c r="D167" t="s">
        <v>5</v>
      </c>
      <c r="E167" t="s">
        <v>4</v>
      </c>
      <c r="F167">
        <v>15</v>
      </c>
      <c r="G167" t="s">
        <v>9</v>
      </c>
      <c r="H167" t="s">
        <v>1</v>
      </c>
      <c r="I167">
        <v>3.9</v>
      </c>
      <c r="J167">
        <v>5</v>
      </c>
      <c r="K167" t="s">
        <v>2</v>
      </c>
      <c r="L167" t="s">
        <v>2</v>
      </c>
      <c r="M167" t="s">
        <v>6</v>
      </c>
      <c r="N167" t="s">
        <v>5</v>
      </c>
    </row>
    <row r="168" spans="1:14" x14ac:dyDescent="0.3">
      <c r="A168">
        <v>167</v>
      </c>
      <c r="B168">
        <v>31</v>
      </c>
      <c r="C168">
        <v>21</v>
      </c>
      <c r="D168" t="s">
        <v>0</v>
      </c>
      <c r="E168" t="s">
        <v>8</v>
      </c>
      <c r="F168">
        <v>60</v>
      </c>
      <c r="G168" t="s">
        <v>3</v>
      </c>
      <c r="H168" t="s">
        <v>6</v>
      </c>
      <c r="I168">
        <v>3.7</v>
      </c>
      <c r="J168">
        <v>5</v>
      </c>
      <c r="K168" t="s">
        <v>1</v>
      </c>
      <c r="L168" t="s">
        <v>2</v>
      </c>
      <c r="M168" t="s">
        <v>1</v>
      </c>
      <c r="N168" t="s">
        <v>0</v>
      </c>
    </row>
    <row r="169" spans="1:14" x14ac:dyDescent="0.3">
      <c r="A169">
        <v>168</v>
      </c>
      <c r="B169">
        <v>35</v>
      </c>
      <c r="C169">
        <v>23.9</v>
      </c>
      <c r="D169" t="s">
        <v>5</v>
      </c>
      <c r="E169" t="s">
        <v>8</v>
      </c>
      <c r="F169">
        <v>30</v>
      </c>
      <c r="G169" t="s">
        <v>9</v>
      </c>
      <c r="H169" t="s">
        <v>6</v>
      </c>
      <c r="I169">
        <v>3.8</v>
      </c>
      <c r="J169">
        <v>7</v>
      </c>
      <c r="K169" t="s">
        <v>1</v>
      </c>
      <c r="L169" t="s">
        <v>6</v>
      </c>
      <c r="M169" t="s">
        <v>1</v>
      </c>
      <c r="N169" t="s">
        <v>5</v>
      </c>
    </row>
    <row r="170" spans="1:14" x14ac:dyDescent="0.3">
      <c r="A170">
        <v>169</v>
      </c>
      <c r="B170">
        <v>37</v>
      </c>
      <c r="C170">
        <v>26.5</v>
      </c>
      <c r="D170" t="s">
        <v>0</v>
      </c>
      <c r="E170" t="s">
        <v>8</v>
      </c>
      <c r="F170">
        <v>60</v>
      </c>
      <c r="G170" t="s">
        <v>7</v>
      </c>
      <c r="H170" t="s">
        <v>2</v>
      </c>
      <c r="I170">
        <v>3.9</v>
      </c>
      <c r="J170">
        <v>7</v>
      </c>
      <c r="K170" t="s">
        <v>6</v>
      </c>
      <c r="L170" t="s">
        <v>1</v>
      </c>
      <c r="M170" t="s">
        <v>2</v>
      </c>
      <c r="N170" t="s">
        <v>5</v>
      </c>
    </row>
    <row r="171" spans="1:14" x14ac:dyDescent="0.3">
      <c r="A171">
        <v>170</v>
      </c>
      <c r="B171">
        <v>28</v>
      </c>
      <c r="C171">
        <v>26.4</v>
      </c>
      <c r="D171" t="s">
        <v>5</v>
      </c>
      <c r="E171" t="s">
        <v>8</v>
      </c>
      <c r="F171">
        <v>0</v>
      </c>
      <c r="G171" t="s">
        <v>3</v>
      </c>
      <c r="H171" t="s">
        <v>1</v>
      </c>
      <c r="I171">
        <v>2.9</v>
      </c>
      <c r="J171">
        <v>8</v>
      </c>
      <c r="K171" t="s">
        <v>6</v>
      </c>
      <c r="L171" t="s">
        <v>2</v>
      </c>
      <c r="M171" t="s">
        <v>6</v>
      </c>
      <c r="N171" t="s">
        <v>0</v>
      </c>
    </row>
    <row r="172" spans="1:14" x14ac:dyDescent="0.3">
      <c r="A172">
        <v>171</v>
      </c>
      <c r="B172">
        <v>27</v>
      </c>
      <c r="C172">
        <v>34.299999999999997</v>
      </c>
      <c r="D172" t="s">
        <v>0</v>
      </c>
      <c r="E172" t="s">
        <v>8</v>
      </c>
      <c r="F172">
        <v>45</v>
      </c>
      <c r="G172" t="s">
        <v>3</v>
      </c>
      <c r="H172" t="s">
        <v>6</v>
      </c>
      <c r="I172">
        <v>3.4</v>
      </c>
      <c r="J172">
        <v>6</v>
      </c>
      <c r="K172" t="s">
        <v>2</v>
      </c>
      <c r="L172" t="s">
        <v>1</v>
      </c>
      <c r="M172" t="s">
        <v>6</v>
      </c>
      <c r="N172" t="s">
        <v>5</v>
      </c>
    </row>
    <row r="173" spans="1:14" x14ac:dyDescent="0.3">
      <c r="A173">
        <v>172</v>
      </c>
      <c r="B173">
        <v>22</v>
      </c>
      <c r="C173">
        <v>20.3</v>
      </c>
      <c r="D173" t="s">
        <v>0</v>
      </c>
      <c r="E173" t="s">
        <v>4</v>
      </c>
      <c r="F173">
        <v>0</v>
      </c>
      <c r="G173" t="s">
        <v>3</v>
      </c>
      <c r="H173" t="s">
        <v>1</v>
      </c>
      <c r="I173">
        <v>2.1</v>
      </c>
      <c r="J173">
        <v>6</v>
      </c>
      <c r="K173" t="s">
        <v>2</v>
      </c>
      <c r="L173" t="s">
        <v>2</v>
      </c>
      <c r="M173" t="s">
        <v>6</v>
      </c>
      <c r="N173" t="s">
        <v>5</v>
      </c>
    </row>
    <row r="174" spans="1:14" x14ac:dyDescent="0.3">
      <c r="A174">
        <v>173</v>
      </c>
      <c r="B174">
        <v>40</v>
      </c>
      <c r="C174">
        <v>26.3</v>
      </c>
      <c r="D174" t="s">
        <v>0</v>
      </c>
      <c r="E174" t="s">
        <v>4</v>
      </c>
      <c r="F174">
        <v>60</v>
      </c>
      <c r="G174" t="s">
        <v>9</v>
      </c>
      <c r="H174" t="s">
        <v>6</v>
      </c>
      <c r="I174">
        <v>3.1</v>
      </c>
      <c r="J174">
        <v>8</v>
      </c>
      <c r="K174" t="s">
        <v>6</v>
      </c>
      <c r="L174" t="s">
        <v>1</v>
      </c>
      <c r="M174" t="s">
        <v>2</v>
      </c>
      <c r="N174" t="s">
        <v>5</v>
      </c>
    </row>
    <row r="175" spans="1:14" x14ac:dyDescent="0.3">
      <c r="A175">
        <v>174</v>
      </c>
      <c r="B175">
        <v>28</v>
      </c>
      <c r="C175">
        <v>23.2</v>
      </c>
      <c r="D175" t="s">
        <v>0</v>
      </c>
      <c r="E175" t="s">
        <v>4</v>
      </c>
      <c r="F175">
        <v>60</v>
      </c>
      <c r="G175" t="s">
        <v>9</v>
      </c>
      <c r="H175" t="s">
        <v>1</v>
      </c>
      <c r="I175">
        <v>3.3</v>
      </c>
      <c r="J175">
        <v>5</v>
      </c>
      <c r="K175" t="s">
        <v>2</v>
      </c>
      <c r="L175" t="s">
        <v>6</v>
      </c>
      <c r="M175" t="s">
        <v>2</v>
      </c>
      <c r="N175" t="s">
        <v>0</v>
      </c>
    </row>
    <row r="176" spans="1:14" x14ac:dyDescent="0.3">
      <c r="A176">
        <v>175</v>
      </c>
      <c r="B176">
        <v>30</v>
      </c>
      <c r="C176">
        <v>31.5</v>
      </c>
      <c r="D176" t="s">
        <v>0</v>
      </c>
      <c r="E176" t="s">
        <v>8</v>
      </c>
      <c r="F176">
        <v>0</v>
      </c>
      <c r="G176" t="s">
        <v>9</v>
      </c>
      <c r="H176" t="s">
        <v>6</v>
      </c>
      <c r="I176">
        <v>2.9</v>
      </c>
      <c r="J176">
        <v>5</v>
      </c>
      <c r="K176" t="s">
        <v>6</v>
      </c>
      <c r="L176" t="s">
        <v>6</v>
      </c>
      <c r="M176" t="s">
        <v>6</v>
      </c>
      <c r="N176" t="s">
        <v>5</v>
      </c>
    </row>
    <row r="177" spans="1:14" x14ac:dyDescent="0.3">
      <c r="A177">
        <v>176</v>
      </c>
      <c r="B177">
        <v>22</v>
      </c>
      <c r="C177">
        <v>32.5</v>
      </c>
      <c r="D177" t="s">
        <v>5</v>
      </c>
      <c r="E177" t="s">
        <v>8</v>
      </c>
      <c r="F177">
        <v>15</v>
      </c>
      <c r="G177" t="s">
        <v>9</v>
      </c>
      <c r="H177" t="s">
        <v>6</v>
      </c>
      <c r="I177">
        <v>1.9</v>
      </c>
      <c r="J177">
        <v>8</v>
      </c>
      <c r="K177" t="s">
        <v>1</v>
      </c>
      <c r="L177" t="s">
        <v>6</v>
      </c>
      <c r="M177" t="s">
        <v>1</v>
      </c>
      <c r="N177" t="s">
        <v>0</v>
      </c>
    </row>
    <row r="178" spans="1:14" x14ac:dyDescent="0.3">
      <c r="A178">
        <v>177</v>
      </c>
      <c r="B178">
        <v>18</v>
      </c>
      <c r="C178">
        <v>30.7</v>
      </c>
      <c r="D178" t="s">
        <v>5</v>
      </c>
      <c r="E178" t="s">
        <v>4</v>
      </c>
      <c r="F178">
        <v>15</v>
      </c>
      <c r="G178" t="s">
        <v>3</v>
      </c>
      <c r="H178" t="s">
        <v>1</v>
      </c>
      <c r="I178">
        <v>3.7</v>
      </c>
      <c r="J178">
        <v>8</v>
      </c>
      <c r="K178" t="s">
        <v>1</v>
      </c>
      <c r="L178" t="s">
        <v>6</v>
      </c>
      <c r="M178" t="s">
        <v>2</v>
      </c>
      <c r="N178" t="s">
        <v>5</v>
      </c>
    </row>
    <row r="179" spans="1:14" x14ac:dyDescent="0.3">
      <c r="A179">
        <v>178</v>
      </c>
      <c r="B179">
        <v>39</v>
      </c>
      <c r="C179">
        <v>20.100000000000001</v>
      </c>
      <c r="D179" t="s">
        <v>0</v>
      </c>
      <c r="E179" t="s">
        <v>8</v>
      </c>
      <c r="F179">
        <v>30</v>
      </c>
      <c r="G179" t="s">
        <v>9</v>
      </c>
      <c r="H179" t="s">
        <v>2</v>
      </c>
      <c r="I179">
        <v>2.2000000000000002</v>
      </c>
      <c r="J179">
        <v>6</v>
      </c>
      <c r="K179" t="s">
        <v>6</v>
      </c>
      <c r="L179" t="s">
        <v>6</v>
      </c>
      <c r="M179" t="s">
        <v>6</v>
      </c>
      <c r="N179" t="s">
        <v>5</v>
      </c>
    </row>
    <row r="180" spans="1:14" x14ac:dyDescent="0.3">
      <c r="A180">
        <v>179</v>
      </c>
      <c r="B180">
        <v>36</v>
      </c>
      <c r="C180">
        <v>30.4</v>
      </c>
      <c r="D180" t="s">
        <v>0</v>
      </c>
      <c r="E180" t="s">
        <v>8</v>
      </c>
      <c r="F180">
        <v>30</v>
      </c>
      <c r="G180" t="s">
        <v>3</v>
      </c>
      <c r="H180" t="s">
        <v>2</v>
      </c>
      <c r="I180">
        <v>1.7</v>
      </c>
      <c r="J180">
        <v>5</v>
      </c>
      <c r="K180" t="s">
        <v>6</v>
      </c>
      <c r="L180" t="s">
        <v>6</v>
      </c>
      <c r="M180" t="s">
        <v>2</v>
      </c>
      <c r="N180" t="s">
        <v>5</v>
      </c>
    </row>
    <row r="181" spans="1:14" x14ac:dyDescent="0.3">
      <c r="A181">
        <v>180</v>
      </c>
      <c r="B181">
        <v>39</v>
      </c>
      <c r="C181">
        <v>26.8</v>
      </c>
      <c r="D181" t="s">
        <v>5</v>
      </c>
      <c r="E181" t="s">
        <v>4</v>
      </c>
      <c r="F181">
        <v>30</v>
      </c>
      <c r="G181" t="s">
        <v>7</v>
      </c>
      <c r="H181" t="s">
        <v>1</v>
      </c>
      <c r="I181">
        <v>2.1</v>
      </c>
      <c r="J181">
        <v>6</v>
      </c>
      <c r="K181" t="s">
        <v>6</v>
      </c>
      <c r="L181" t="s">
        <v>2</v>
      </c>
      <c r="M181" t="s">
        <v>6</v>
      </c>
      <c r="N181" t="s">
        <v>5</v>
      </c>
    </row>
    <row r="182" spans="1:14" x14ac:dyDescent="0.3">
      <c r="A182">
        <v>181</v>
      </c>
      <c r="B182">
        <v>31</v>
      </c>
      <c r="C182">
        <v>30.1</v>
      </c>
      <c r="D182" t="s">
        <v>5</v>
      </c>
      <c r="E182" t="s">
        <v>4</v>
      </c>
      <c r="F182">
        <v>15</v>
      </c>
      <c r="G182" t="s">
        <v>3</v>
      </c>
      <c r="H182" t="s">
        <v>1</v>
      </c>
      <c r="I182">
        <v>3.7</v>
      </c>
      <c r="J182">
        <v>5</v>
      </c>
      <c r="K182" t="s">
        <v>1</v>
      </c>
      <c r="L182" t="s">
        <v>6</v>
      </c>
      <c r="M182" t="s">
        <v>1</v>
      </c>
      <c r="N182" t="s">
        <v>5</v>
      </c>
    </row>
    <row r="183" spans="1:14" x14ac:dyDescent="0.3">
      <c r="A183">
        <v>182</v>
      </c>
      <c r="B183">
        <v>20</v>
      </c>
      <c r="C183">
        <v>33.6</v>
      </c>
      <c r="D183" t="s">
        <v>0</v>
      </c>
      <c r="E183" t="s">
        <v>4</v>
      </c>
      <c r="F183">
        <v>60</v>
      </c>
      <c r="G183" t="s">
        <v>3</v>
      </c>
      <c r="H183" t="s">
        <v>2</v>
      </c>
      <c r="I183">
        <v>2.9</v>
      </c>
      <c r="J183">
        <v>6</v>
      </c>
      <c r="K183" t="s">
        <v>2</v>
      </c>
      <c r="L183" t="s">
        <v>6</v>
      </c>
      <c r="M183" t="s">
        <v>1</v>
      </c>
      <c r="N183" t="s">
        <v>5</v>
      </c>
    </row>
    <row r="184" spans="1:14" x14ac:dyDescent="0.3">
      <c r="A184">
        <v>183</v>
      </c>
      <c r="B184">
        <v>21</v>
      </c>
      <c r="C184">
        <v>29.7</v>
      </c>
      <c r="D184" t="s">
        <v>5</v>
      </c>
      <c r="E184" t="s">
        <v>4</v>
      </c>
      <c r="F184">
        <v>60</v>
      </c>
      <c r="G184" t="s">
        <v>7</v>
      </c>
      <c r="H184" t="s">
        <v>2</v>
      </c>
      <c r="I184">
        <v>2.6</v>
      </c>
      <c r="J184">
        <v>9</v>
      </c>
      <c r="K184" t="s">
        <v>6</v>
      </c>
      <c r="L184" t="s">
        <v>6</v>
      </c>
      <c r="M184" t="s">
        <v>1</v>
      </c>
      <c r="N184" t="s">
        <v>0</v>
      </c>
    </row>
    <row r="185" spans="1:14" x14ac:dyDescent="0.3">
      <c r="A185">
        <v>184</v>
      </c>
      <c r="B185">
        <v>35</v>
      </c>
      <c r="C185">
        <v>26.1</v>
      </c>
      <c r="D185" t="s">
        <v>5</v>
      </c>
      <c r="E185" t="s">
        <v>4</v>
      </c>
      <c r="F185">
        <v>45</v>
      </c>
      <c r="G185" t="s">
        <v>7</v>
      </c>
      <c r="H185" t="s">
        <v>2</v>
      </c>
      <c r="I185">
        <v>3.4</v>
      </c>
      <c r="J185">
        <v>9</v>
      </c>
      <c r="K185" t="s">
        <v>2</v>
      </c>
      <c r="L185" t="s">
        <v>2</v>
      </c>
      <c r="M185" t="s">
        <v>6</v>
      </c>
      <c r="N185" t="s">
        <v>5</v>
      </c>
    </row>
    <row r="186" spans="1:14" x14ac:dyDescent="0.3">
      <c r="A186">
        <v>185</v>
      </c>
      <c r="B186">
        <v>40</v>
      </c>
      <c r="C186">
        <v>19.600000000000001</v>
      </c>
      <c r="D186" t="s">
        <v>0</v>
      </c>
      <c r="E186" t="s">
        <v>4</v>
      </c>
      <c r="F186">
        <v>45</v>
      </c>
      <c r="G186" t="s">
        <v>9</v>
      </c>
      <c r="H186" t="s">
        <v>6</v>
      </c>
      <c r="I186">
        <v>2.5</v>
      </c>
      <c r="J186">
        <v>6</v>
      </c>
      <c r="K186" t="s">
        <v>1</v>
      </c>
      <c r="L186" t="s">
        <v>1</v>
      </c>
      <c r="M186" t="s">
        <v>1</v>
      </c>
      <c r="N186" t="s">
        <v>5</v>
      </c>
    </row>
    <row r="187" spans="1:14" x14ac:dyDescent="0.3">
      <c r="A187">
        <v>186</v>
      </c>
      <c r="B187">
        <v>29</v>
      </c>
      <c r="C187">
        <v>34.9</v>
      </c>
      <c r="D187" t="s">
        <v>5</v>
      </c>
      <c r="E187" t="s">
        <v>8</v>
      </c>
      <c r="F187">
        <v>45</v>
      </c>
      <c r="G187" t="s">
        <v>7</v>
      </c>
      <c r="H187" t="s">
        <v>2</v>
      </c>
      <c r="I187">
        <v>3.2</v>
      </c>
      <c r="J187">
        <v>9</v>
      </c>
      <c r="K187" t="s">
        <v>2</v>
      </c>
      <c r="L187" t="s">
        <v>1</v>
      </c>
      <c r="M187" t="s">
        <v>6</v>
      </c>
      <c r="N187" t="s">
        <v>0</v>
      </c>
    </row>
    <row r="188" spans="1:14" x14ac:dyDescent="0.3">
      <c r="A188">
        <v>187</v>
      </c>
      <c r="B188">
        <v>23</v>
      </c>
      <c r="C188">
        <v>34.9</v>
      </c>
      <c r="D188" t="s">
        <v>5</v>
      </c>
      <c r="E188" t="s">
        <v>4</v>
      </c>
      <c r="F188">
        <v>15</v>
      </c>
      <c r="G188" t="s">
        <v>9</v>
      </c>
      <c r="H188" t="s">
        <v>2</v>
      </c>
      <c r="I188">
        <v>3.9</v>
      </c>
      <c r="J188">
        <v>8</v>
      </c>
      <c r="K188" t="s">
        <v>1</v>
      </c>
      <c r="L188" t="s">
        <v>1</v>
      </c>
      <c r="M188" t="s">
        <v>1</v>
      </c>
      <c r="N188" t="s">
        <v>5</v>
      </c>
    </row>
    <row r="189" spans="1:14" x14ac:dyDescent="0.3">
      <c r="A189">
        <v>188</v>
      </c>
      <c r="B189">
        <v>35</v>
      </c>
      <c r="C189">
        <v>24.8</v>
      </c>
      <c r="D189" t="s">
        <v>0</v>
      </c>
      <c r="E189" t="s">
        <v>4</v>
      </c>
      <c r="F189">
        <v>45</v>
      </c>
      <c r="G189" t="s">
        <v>7</v>
      </c>
      <c r="H189" t="s">
        <v>2</v>
      </c>
      <c r="I189">
        <v>2.2000000000000002</v>
      </c>
      <c r="J189">
        <v>5</v>
      </c>
      <c r="K189" t="s">
        <v>2</v>
      </c>
      <c r="L189" t="s">
        <v>1</v>
      </c>
      <c r="M189" t="s">
        <v>6</v>
      </c>
      <c r="N189" t="s">
        <v>0</v>
      </c>
    </row>
    <row r="190" spans="1:14" x14ac:dyDescent="0.3">
      <c r="A190">
        <v>189</v>
      </c>
      <c r="B190">
        <v>25</v>
      </c>
      <c r="C190">
        <v>21.9</v>
      </c>
      <c r="D190" t="s">
        <v>0</v>
      </c>
      <c r="E190" t="s">
        <v>4</v>
      </c>
      <c r="F190">
        <v>45</v>
      </c>
      <c r="G190" t="s">
        <v>3</v>
      </c>
      <c r="H190" t="s">
        <v>1</v>
      </c>
      <c r="I190">
        <v>3.3</v>
      </c>
      <c r="J190">
        <v>5</v>
      </c>
      <c r="K190" t="s">
        <v>2</v>
      </c>
      <c r="L190" t="s">
        <v>1</v>
      </c>
      <c r="M190" t="s">
        <v>2</v>
      </c>
      <c r="N190" t="s">
        <v>5</v>
      </c>
    </row>
    <row r="191" spans="1:14" x14ac:dyDescent="0.3">
      <c r="A191">
        <v>190</v>
      </c>
      <c r="B191">
        <v>32</v>
      </c>
      <c r="C191">
        <v>22.4</v>
      </c>
      <c r="D191" t="s">
        <v>0</v>
      </c>
      <c r="E191" t="s">
        <v>4</v>
      </c>
      <c r="F191">
        <v>15</v>
      </c>
      <c r="G191" t="s">
        <v>3</v>
      </c>
      <c r="H191" t="s">
        <v>6</v>
      </c>
      <c r="I191">
        <v>2.1</v>
      </c>
      <c r="J191">
        <v>9</v>
      </c>
      <c r="K191" t="s">
        <v>6</v>
      </c>
      <c r="L191" t="s">
        <v>1</v>
      </c>
      <c r="M191" t="s">
        <v>1</v>
      </c>
      <c r="N191" t="s">
        <v>5</v>
      </c>
    </row>
    <row r="192" spans="1:14" x14ac:dyDescent="0.3">
      <c r="A192">
        <v>191</v>
      </c>
      <c r="B192">
        <v>25</v>
      </c>
      <c r="C192">
        <v>23.5</v>
      </c>
      <c r="D192" t="s">
        <v>0</v>
      </c>
      <c r="E192" t="s">
        <v>4</v>
      </c>
      <c r="F192">
        <v>45</v>
      </c>
      <c r="G192" t="s">
        <v>7</v>
      </c>
      <c r="H192" t="s">
        <v>6</v>
      </c>
      <c r="I192">
        <v>1.7</v>
      </c>
      <c r="J192">
        <v>9</v>
      </c>
      <c r="K192" t="s">
        <v>1</v>
      </c>
      <c r="L192" t="s">
        <v>2</v>
      </c>
      <c r="M192" t="s">
        <v>1</v>
      </c>
      <c r="N192" t="s">
        <v>5</v>
      </c>
    </row>
    <row r="193" spans="1:14" x14ac:dyDescent="0.3">
      <c r="A193">
        <v>192</v>
      </c>
      <c r="B193">
        <v>35</v>
      </c>
      <c r="C193">
        <v>26.7</v>
      </c>
      <c r="D193" t="s">
        <v>5</v>
      </c>
      <c r="E193" t="s">
        <v>8</v>
      </c>
      <c r="F193">
        <v>60</v>
      </c>
      <c r="G193" t="s">
        <v>7</v>
      </c>
      <c r="H193" t="s">
        <v>1</v>
      </c>
      <c r="I193">
        <v>2.5</v>
      </c>
      <c r="J193">
        <v>6</v>
      </c>
      <c r="K193" t="s">
        <v>6</v>
      </c>
      <c r="L193" t="s">
        <v>6</v>
      </c>
      <c r="M193" t="s">
        <v>2</v>
      </c>
      <c r="N193" t="s">
        <v>5</v>
      </c>
    </row>
    <row r="194" spans="1:14" x14ac:dyDescent="0.3">
      <c r="A194">
        <v>193</v>
      </c>
      <c r="B194">
        <v>25</v>
      </c>
      <c r="C194">
        <v>32.5</v>
      </c>
      <c r="D194" t="s">
        <v>5</v>
      </c>
      <c r="E194" t="s">
        <v>4</v>
      </c>
      <c r="F194">
        <v>45</v>
      </c>
      <c r="G194" t="s">
        <v>9</v>
      </c>
      <c r="H194" t="s">
        <v>1</v>
      </c>
      <c r="I194">
        <v>2.5</v>
      </c>
      <c r="J194">
        <v>8</v>
      </c>
      <c r="K194" t="s">
        <v>1</v>
      </c>
      <c r="L194" t="s">
        <v>1</v>
      </c>
      <c r="M194" t="s">
        <v>2</v>
      </c>
      <c r="N194" t="s">
        <v>5</v>
      </c>
    </row>
    <row r="195" spans="1:14" x14ac:dyDescent="0.3">
      <c r="A195">
        <v>194</v>
      </c>
      <c r="B195">
        <v>25</v>
      </c>
      <c r="C195">
        <v>22.7</v>
      </c>
      <c r="D195" t="s">
        <v>5</v>
      </c>
      <c r="E195" t="s">
        <v>4</v>
      </c>
      <c r="F195">
        <v>45</v>
      </c>
      <c r="G195" t="s">
        <v>7</v>
      </c>
      <c r="H195" t="s">
        <v>2</v>
      </c>
      <c r="I195">
        <v>2.8</v>
      </c>
      <c r="J195">
        <v>6</v>
      </c>
      <c r="K195" t="s">
        <v>2</v>
      </c>
      <c r="L195" t="s">
        <v>6</v>
      </c>
      <c r="M195" t="s">
        <v>6</v>
      </c>
      <c r="N195" t="s">
        <v>0</v>
      </c>
    </row>
    <row r="196" spans="1:14" x14ac:dyDescent="0.3">
      <c r="A196">
        <v>195</v>
      </c>
      <c r="B196">
        <v>20</v>
      </c>
      <c r="C196">
        <v>21.6</v>
      </c>
      <c r="D196" t="s">
        <v>0</v>
      </c>
      <c r="E196" t="s">
        <v>8</v>
      </c>
      <c r="F196">
        <v>15</v>
      </c>
      <c r="G196" t="s">
        <v>7</v>
      </c>
      <c r="H196" t="s">
        <v>6</v>
      </c>
      <c r="I196">
        <v>3.9</v>
      </c>
      <c r="J196">
        <v>5</v>
      </c>
      <c r="K196" t="s">
        <v>2</v>
      </c>
      <c r="L196" t="s">
        <v>2</v>
      </c>
      <c r="M196" t="s">
        <v>1</v>
      </c>
      <c r="N196" t="s">
        <v>0</v>
      </c>
    </row>
    <row r="197" spans="1:14" x14ac:dyDescent="0.3">
      <c r="A197">
        <v>196</v>
      </c>
      <c r="B197">
        <v>33</v>
      </c>
      <c r="C197">
        <v>33.6</v>
      </c>
      <c r="D197" t="s">
        <v>0</v>
      </c>
      <c r="E197" t="s">
        <v>8</v>
      </c>
      <c r="F197">
        <v>15</v>
      </c>
      <c r="G197" t="s">
        <v>3</v>
      </c>
      <c r="H197" t="s">
        <v>6</v>
      </c>
      <c r="I197">
        <v>3.4</v>
      </c>
      <c r="J197">
        <v>8</v>
      </c>
      <c r="K197" t="s">
        <v>6</v>
      </c>
      <c r="L197" t="s">
        <v>1</v>
      </c>
      <c r="M197" t="s">
        <v>1</v>
      </c>
      <c r="N197" t="s">
        <v>5</v>
      </c>
    </row>
    <row r="198" spans="1:14" x14ac:dyDescent="0.3">
      <c r="A198">
        <v>197</v>
      </c>
      <c r="B198">
        <v>27</v>
      </c>
      <c r="C198">
        <v>22.8</v>
      </c>
      <c r="D198" t="s">
        <v>5</v>
      </c>
      <c r="E198" t="s">
        <v>8</v>
      </c>
      <c r="F198">
        <v>0</v>
      </c>
      <c r="G198" t="s">
        <v>3</v>
      </c>
      <c r="H198" t="s">
        <v>6</v>
      </c>
      <c r="I198">
        <v>3.4</v>
      </c>
      <c r="J198">
        <v>7</v>
      </c>
      <c r="K198" t="s">
        <v>2</v>
      </c>
      <c r="L198" t="s">
        <v>6</v>
      </c>
      <c r="M198" t="s">
        <v>6</v>
      </c>
      <c r="N198" t="s">
        <v>5</v>
      </c>
    </row>
    <row r="199" spans="1:14" x14ac:dyDescent="0.3">
      <c r="A199">
        <v>198</v>
      </c>
      <c r="B199">
        <v>19</v>
      </c>
      <c r="C199">
        <v>27.8</v>
      </c>
      <c r="D199" t="s">
        <v>0</v>
      </c>
      <c r="E199" t="s">
        <v>4</v>
      </c>
      <c r="F199">
        <v>0</v>
      </c>
      <c r="G199" t="s">
        <v>7</v>
      </c>
      <c r="H199" t="s">
        <v>1</v>
      </c>
      <c r="I199">
        <v>3.8</v>
      </c>
      <c r="J199">
        <v>9</v>
      </c>
      <c r="K199" t="s">
        <v>1</v>
      </c>
      <c r="L199" t="s">
        <v>6</v>
      </c>
      <c r="M199" t="s">
        <v>6</v>
      </c>
      <c r="N199" t="s">
        <v>0</v>
      </c>
    </row>
    <row r="200" spans="1:14" x14ac:dyDescent="0.3">
      <c r="A200">
        <v>199</v>
      </c>
      <c r="B200">
        <v>24</v>
      </c>
      <c r="C200">
        <v>23.9</v>
      </c>
      <c r="D200" t="s">
        <v>5</v>
      </c>
      <c r="E200" t="s">
        <v>4</v>
      </c>
      <c r="F200">
        <v>45</v>
      </c>
      <c r="G200" t="s">
        <v>3</v>
      </c>
      <c r="H200" t="s">
        <v>1</v>
      </c>
      <c r="I200">
        <v>3.9</v>
      </c>
      <c r="J200">
        <v>7</v>
      </c>
      <c r="K200" t="s">
        <v>6</v>
      </c>
      <c r="L200" t="s">
        <v>6</v>
      </c>
      <c r="M200" t="s">
        <v>1</v>
      </c>
      <c r="N200" t="s">
        <v>5</v>
      </c>
    </row>
    <row r="201" spans="1:14" x14ac:dyDescent="0.3">
      <c r="A201">
        <v>200</v>
      </c>
      <c r="B201">
        <v>32</v>
      </c>
      <c r="C201">
        <v>21.3</v>
      </c>
      <c r="D201" t="s">
        <v>5</v>
      </c>
      <c r="E201" t="s">
        <v>4</v>
      </c>
      <c r="F201">
        <v>15</v>
      </c>
      <c r="G201" t="s">
        <v>3</v>
      </c>
      <c r="H201" t="s">
        <v>1</v>
      </c>
      <c r="I201">
        <v>2.7</v>
      </c>
      <c r="J201">
        <v>9</v>
      </c>
      <c r="K201" t="s">
        <v>1</v>
      </c>
      <c r="L201" t="s">
        <v>2</v>
      </c>
      <c r="M201" t="s">
        <v>1</v>
      </c>
      <c r="N201" t="s">
        <v>0</v>
      </c>
    </row>
  </sheetData>
  <autoFilter ref="A1:N201" xr:uid="{C12E7351-5637-4AC8-BF7C-6CD9B40F94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2651E-4A87-46AF-9D22-F307236B42D6}">
  <dimension ref="B2:AQ59"/>
  <sheetViews>
    <sheetView tabSelected="1" zoomScale="42" workbookViewId="0">
      <selection activeCell="AR55" sqref="AR55"/>
    </sheetView>
  </sheetViews>
  <sheetFormatPr defaultRowHeight="14.4" x14ac:dyDescent="0.3"/>
  <sheetData>
    <row r="2" spans="2:43" x14ac:dyDescent="0.3">
      <c r="B2" s="6"/>
      <c r="C2" s="6"/>
      <c r="D2" s="6"/>
      <c r="E2" s="21" t="s">
        <v>35</v>
      </c>
      <c r="F2" s="21"/>
      <c r="G2" s="21"/>
      <c r="H2" s="21"/>
      <c r="I2" s="21"/>
      <c r="J2" s="21"/>
      <c r="K2" s="21"/>
      <c r="L2" s="21"/>
      <c r="M2" s="21"/>
      <c r="N2" s="21"/>
      <c r="O2" s="21"/>
      <c r="P2" s="21"/>
      <c r="Q2" s="21"/>
      <c r="R2" s="21"/>
      <c r="S2" s="21"/>
      <c r="T2" s="21"/>
      <c r="U2" s="21"/>
      <c r="V2" s="21"/>
      <c r="W2" s="6"/>
      <c r="X2" s="6"/>
      <c r="Y2" s="6"/>
      <c r="Z2" s="6"/>
    </row>
    <row r="3" spans="2:43" x14ac:dyDescent="0.3">
      <c r="B3" s="6"/>
      <c r="C3" s="6"/>
      <c r="D3" s="6"/>
      <c r="E3" s="21"/>
      <c r="F3" s="21"/>
      <c r="G3" s="21"/>
      <c r="H3" s="21"/>
      <c r="I3" s="21"/>
      <c r="J3" s="21"/>
      <c r="K3" s="21"/>
      <c r="L3" s="21"/>
      <c r="M3" s="21"/>
      <c r="N3" s="21"/>
      <c r="O3" s="21"/>
      <c r="P3" s="21"/>
      <c r="Q3" s="21"/>
      <c r="R3" s="21"/>
      <c r="S3" s="21"/>
      <c r="T3" s="21"/>
      <c r="U3" s="21"/>
      <c r="V3" s="21"/>
      <c r="W3" s="6"/>
      <c r="X3" s="6"/>
      <c r="Y3" s="6"/>
      <c r="Z3" s="6"/>
    </row>
    <row r="4" spans="2:43" x14ac:dyDescent="0.3">
      <c r="B4" s="6"/>
      <c r="C4" s="6"/>
      <c r="D4" s="6"/>
      <c r="E4" s="14" t="s">
        <v>57</v>
      </c>
      <c r="F4" s="14"/>
      <c r="G4" s="6"/>
      <c r="H4" s="16" t="s">
        <v>56</v>
      </c>
      <c r="I4" s="16"/>
      <c r="J4" s="6"/>
      <c r="K4" s="15" t="s">
        <v>52</v>
      </c>
      <c r="L4" s="15"/>
      <c r="M4" s="6"/>
      <c r="N4" s="17" t="s">
        <v>53</v>
      </c>
      <c r="O4" s="17"/>
      <c r="P4" s="6"/>
      <c r="Q4" s="18" t="s">
        <v>54</v>
      </c>
      <c r="R4" s="18"/>
      <c r="S4" s="6"/>
      <c r="T4" s="19" t="s">
        <v>55</v>
      </c>
      <c r="U4" s="19"/>
      <c r="V4" s="6"/>
    </row>
    <row r="5" spans="2:43" x14ac:dyDescent="0.3">
      <c r="B5" s="6"/>
      <c r="C5" s="6"/>
      <c r="D5" s="6"/>
      <c r="E5" s="14"/>
      <c r="F5" s="14"/>
      <c r="G5" s="6"/>
      <c r="H5" s="16"/>
      <c r="I5" s="16"/>
      <c r="J5" s="6"/>
      <c r="K5" s="15"/>
      <c r="L5" s="15"/>
      <c r="M5" s="6"/>
      <c r="N5" s="17"/>
      <c r="O5" s="17"/>
      <c r="P5" s="6"/>
      <c r="Q5" s="18"/>
      <c r="R5" s="18"/>
      <c r="S5" s="6"/>
      <c r="T5" s="19"/>
      <c r="U5" s="19"/>
      <c r="V5" s="6"/>
    </row>
    <row r="6" spans="2:43" x14ac:dyDescent="0.3">
      <c r="B6" s="6"/>
      <c r="C6" s="6"/>
      <c r="D6" s="6"/>
      <c r="E6" s="14"/>
      <c r="F6" s="14"/>
      <c r="G6" s="6"/>
      <c r="H6" s="16"/>
      <c r="I6" s="16"/>
      <c r="J6" s="6"/>
      <c r="K6" s="15"/>
      <c r="L6" s="15"/>
      <c r="M6" s="6"/>
      <c r="N6" s="17"/>
      <c r="O6" s="17"/>
      <c r="P6" s="6"/>
      <c r="Q6" s="18"/>
      <c r="R6" s="18"/>
      <c r="S6" s="6"/>
      <c r="T6" s="19"/>
      <c r="U6" s="19"/>
      <c r="V6" s="6"/>
      <c r="AC6" s="23" t="s">
        <v>58</v>
      </c>
      <c r="AD6" s="24"/>
      <c r="AE6" s="24"/>
      <c r="AF6" s="24"/>
      <c r="AG6" s="24"/>
      <c r="AH6" s="24"/>
      <c r="AI6" s="24"/>
      <c r="AJ6" s="24"/>
      <c r="AK6" s="24"/>
      <c r="AL6" s="24"/>
      <c r="AM6" s="24"/>
      <c r="AN6" s="24"/>
      <c r="AO6" s="24"/>
      <c r="AP6" s="24"/>
      <c r="AQ6" s="24"/>
    </row>
    <row r="7" spans="2:43" x14ac:dyDescent="0.3">
      <c r="D7" s="6"/>
      <c r="E7" s="6"/>
      <c r="F7" s="6"/>
      <c r="G7" s="6"/>
      <c r="H7" s="6"/>
      <c r="I7" s="6"/>
      <c r="J7" s="6"/>
      <c r="K7" s="6"/>
      <c r="L7" s="6"/>
      <c r="M7" s="6"/>
      <c r="N7" s="6"/>
      <c r="O7" s="6"/>
      <c r="P7" s="6"/>
      <c r="Q7" s="6"/>
      <c r="R7" s="6"/>
      <c r="S7" s="6"/>
      <c r="T7" s="6"/>
      <c r="U7" s="6"/>
      <c r="V7" s="6"/>
      <c r="AC7" s="24"/>
      <c r="AD7" s="24"/>
      <c r="AE7" s="24"/>
      <c r="AF7" s="24"/>
      <c r="AG7" s="24"/>
      <c r="AH7" s="24"/>
      <c r="AI7" s="24"/>
      <c r="AJ7" s="24"/>
      <c r="AK7" s="24"/>
      <c r="AL7" s="24"/>
      <c r="AM7" s="24"/>
      <c r="AN7" s="24"/>
      <c r="AO7" s="24"/>
      <c r="AP7" s="24"/>
      <c r="AQ7" s="24"/>
    </row>
    <row r="8" spans="2:43" x14ac:dyDescent="0.3">
      <c r="D8" s="6"/>
      <c r="E8" s="6"/>
      <c r="F8" s="6"/>
      <c r="G8" s="6"/>
      <c r="H8" s="6"/>
      <c r="I8" s="6"/>
      <c r="J8" s="6"/>
      <c r="K8" s="6"/>
      <c r="L8" s="6"/>
      <c r="M8" s="6"/>
      <c r="N8" s="6"/>
      <c r="O8" s="6"/>
      <c r="P8" s="6"/>
      <c r="Q8" s="6"/>
      <c r="R8" s="6"/>
      <c r="S8" s="6"/>
      <c r="T8" s="6"/>
      <c r="U8" s="6"/>
      <c r="V8" s="6"/>
      <c r="AC8" s="24"/>
      <c r="AD8" s="24"/>
      <c r="AE8" s="24"/>
      <c r="AF8" s="24"/>
      <c r="AG8" s="24"/>
      <c r="AH8" s="24"/>
      <c r="AI8" s="24"/>
      <c r="AJ8" s="24"/>
      <c r="AK8" s="24"/>
      <c r="AL8" s="24"/>
      <c r="AM8" s="24"/>
      <c r="AN8" s="24"/>
      <c r="AO8" s="24"/>
      <c r="AP8" s="24"/>
      <c r="AQ8" s="24"/>
    </row>
    <row r="9" spans="2:43" x14ac:dyDescent="0.3">
      <c r="D9" s="6"/>
      <c r="E9" s="6"/>
      <c r="F9" s="6"/>
      <c r="G9" s="6"/>
      <c r="H9" s="6"/>
      <c r="I9" s="6"/>
      <c r="J9" s="6"/>
      <c r="K9" s="6"/>
      <c r="L9" s="6"/>
      <c r="M9" s="6"/>
      <c r="N9" s="6"/>
      <c r="O9" s="6"/>
      <c r="P9" s="6"/>
      <c r="Q9" s="6"/>
      <c r="R9" s="6"/>
      <c r="S9" s="6"/>
      <c r="T9" s="6"/>
      <c r="U9" s="6"/>
      <c r="V9" s="6"/>
      <c r="AC9" s="24"/>
      <c r="AD9" s="24"/>
      <c r="AE9" s="24"/>
      <c r="AF9" s="24"/>
      <c r="AG9" s="24"/>
      <c r="AH9" s="24"/>
      <c r="AI9" s="24"/>
      <c r="AJ9" s="24"/>
      <c r="AK9" s="24"/>
      <c r="AL9" s="24"/>
      <c r="AM9" s="24"/>
      <c r="AN9" s="24"/>
      <c r="AO9" s="24"/>
      <c r="AP9" s="24"/>
      <c r="AQ9" s="24"/>
    </row>
    <row r="10" spans="2:43" x14ac:dyDescent="0.3">
      <c r="D10" s="6"/>
      <c r="E10" s="6"/>
      <c r="F10" s="6"/>
      <c r="G10" s="6"/>
      <c r="H10" s="6"/>
      <c r="I10" s="6"/>
      <c r="J10" s="6"/>
      <c r="K10" s="6"/>
      <c r="L10" s="6"/>
      <c r="M10" s="6"/>
      <c r="N10" s="6"/>
      <c r="O10" s="6"/>
      <c r="P10" s="6"/>
      <c r="Q10" s="6"/>
      <c r="R10" s="6"/>
      <c r="S10" s="6"/>
      <c r="T10" s="6"/>
      <c r="U10" s="6"/>
      <c r="V10" s="6"/>
      <c r="AC10" s="24"/>
      <c r="AD10" s="24"/>
      <c r="AE10" s="24"/>
      <c r="AF10" s="24"/>
      <c r="AG10" s="24"/>
      <c r="AH10" s="24"/>
      <c r="AI10" s="24"/>
      <c r="AJ10" s="24"/>
      <c r="AK10" s="24"/>
      <c r="AL10" s="24"/>
      <c r="AM10" s="24"/>
      <c r="AN10" s="24"/>
      <c r="AO10" s="24"/>
      <c r="AP10" s="24"/>
      <c r="AQ10" s="24"/>
    </row>
    <row r="11" spans="2:43" x14ac:dyDescent="0.3">
      <c r="D11" s="6"/>
      <c r="E11" s="6"/>
      <c r="F11" s="6"/>
      <c r="G11" s="6"/>
      <c r="H11" s="6"/>
      <c r="I11" s="6"/>
      <c r="J11" s="6"/>
      <c r="K11" s="6"/>
      <c r="L11" s="6"/>
      <c r="M11" s="6"/>
      <c r="N11" s="6"/>
      <c r="O11" s="6"/>
      <c r="P11" s="6"/>
      <c r="Q11" s="6"/>
      <c r="R11" s="6"/>
      <c r="S11" s="6"/>
      <c r="T11" s="6"/>
      <c r="U11" s="6"/>
      <c r="V11" s="6"/>
      <c r="AC11" s="24"/>
      <c r="AD11" s="24"/>
      <c r="AE11" s="24"/>
      <c r="AF11" s="24"/>
      <c r="AG11" s="24"/>
      <c r="AH11" s="24"/>
      <c r="AI11" s="24"/>
      <c r="AJ11" s="24"/>
      <c r="AK11" s="24"/>
      <c r="AL11" s="24"/>
      <c r="AM11" s="24"/>
      <c r="AN11" s="24"/>
      <c r="AO11" s="24"/>
      <c r="AP11" s="24"/>
      <c r="AQ11" s="24"/>
    </row>
    <row r="12" spans="2:43" x14ac:dyDescent="0.3">
      <c r="D12" s="6"/>
      <c r="E12" s="6"/>
      <c r="F12" s="6"/>
      <c r="G12" s="6"/>
      <c r="H12" s="6"/>
      <c r="I12" s="6"/>
      <c r="J12" s="6"/>
      <c r="K12" s="6"/>
      <c r="L12" s="6"/>
      <c r="M12" s="6"/>
      <c r="N12" s="6"/>
      <c r="O12" s="6"/>
      <c r="P12" s="6"/>
      <c r="Q12" s="6"/>
      <c r="R12" s="6"/>
      <c r="S12" s="6"/>
      <c r="T12" s="6"/>
      <c r="U12" s="6"/>
      <c r="V12" s="6"/>
      <c r="AC12" s="24"/>
      <c r="AD12" s="24"/>
      <c r="AE12" s="24"/>
      <c r="AF12" s="24"/>
      <c r="AG12" s="24"/>
      <c r="AH12" s="24"/>
      <c r="AI12" s="24"/>
      <c r="AJ12" s="24"/>
      <c r="AK12" s="24"/>
      <c r="AL12" s="24"/>
      <c r="AM12" s="24"/>
      <c r="AN12" s="24"/>
      <c r="AO12" s="24"/>
      <c r="AP12" s="24"/>
      <c r="AQ12" s="24"/>
    </row>
    <row r="13" spans="2:43" x14ac:dyDescent="0.3">
      <c r="D13" s="6"/>
      <c r="E13" s="6"/>
      <c r="F13" s="6"/>
      <c r="G13" s="6"/>
      <c r="H13" s="6"/>
      <c r="I13" s="6"/>
      <c r="J13" s="6"/>
      <c r="K13" s="6"/>
      <c r="L13" s="6"/>
      <c r="M13" s="6"/>
      <c r="N13" s="6"/>
      <c r="O13" s="6"/>
      <c r="P13" s="6"/>
      <c r="Q13" s="6"/>
      <c r="R13" s="6"/>
      <c r="S13" s="6"/>
      <c r="T13" s="6"/>
      <c r="U13" s="6"/>
      <c r="V13" s="6"/>
      <c r="AC13" s="24"/>
      <c r="AD13" s="24"/>
      <c r="AE13" s="24"/>
      <c r="AF13" s="24"/>
      <c r="AG13" s="24"/>
      <c r="AH13" s="24"/>
      <c r="AI13" s="24"/>
      <c r="AJ13" s="24"/>
      <c r="AK13" s="24"/>
      <c r="AL13" s="24"/>
      <c r="AM13" s="24"/>
      <c r="AN13" s="24"/>
      <c r="AO13" s="24"/>
      <c r="AP13" s="24"/>
      <c r="AQ13" s="24"/>
    </row>
    <row r="14" spans="2:43" x14ac:dyDescent="0.3">
      <c r="D14" s="6"/>
      <c r="E14" s="6"/>
      <c r="F14" s="6"/>
      <c r="G14" s="6"/>
      <c r="H14" s="6"/>
      <c r="I14" s="6"/>
      <c r="J14" s="6"/>
      <c r="K14" s="6"/>
      <c r="L14" s="6"/>
      <c r="M14" s="6"/>
      <c r="N14" s="6"/>
      <c r="O14" s="6"/>
      <c r="P14" s="6"/>
      <c r="Q14" s="6"/>
      <c r="R14" s="6"/>
      <c r="S14" s="6"/>
      <c r="T14" s="6"/>
      <c r="U14" s="6"/>
      <c r="V14" s="6"/>
      <c r="AC14" s="24"/>
      <c r="AD14" s="24"/>
      <c r="AE14" s="24"/>
      <c r="AF14" s="24"/>
      <c r="AG14" s="24"/>
      <c r="AH14" s="24"/>
      <c r="AI14" s="24"/>
      <c r="AJ14" s="24"/>
      <c r="AK14" s="24"/>
      <c r="AL14" s="24"/>
      <c r="AM14" s="24"/>
      <c r="AN14" s="24"/>
      <c r="AO14" s="24"/>
      <c r="AP14" s="24"/>
      <c r="AQ14" s="24"/>
    </row>
    <row r="15" spans="2:43" x14ac:dyDescent="0.3">
      <c r="D15" s="6"/>
      <c r="E15" s="6"/>
      <c r="F15" s="6"/>
      <c r="G15" s="6"/>
      <c r="H15" s="6"/>
      <c r="I15" s="6"/>
      <c r="J15" s="6"/>
      <c r="K15" s="6"/>
      <c r="L15" s="6"/>
      <c r="M15" s="6"/>
      <c r="N15" s="6"/>
      <c r="O15" s="6"/>
      <c r="P15" s="6"/>
      <c r="Q15" s="6"/>
      <c r="R15" s="6"/>
      <c r="S15" s="6"/>
      <c r="T15" s="6"/>
      <c r="U15" s="6"/>
      <c r="V15" s="6"/>
      <c r="AC15" s="24"/>
      <c r="AD15" s="24"/>
      <c r="AE15" s="24"/>
      <c r="AF15" s="24"/>
      <c r="AG15" s="24"/>
      <c r="AH15" s="24"/>
      <c r="AI15" s="24"/>
      <c r="AJ15" s="24"/>
      <c r="AK15" s="24"/>
      <c r="AL15" s="24"/>
      <c r="AM15" s="24"/>
      <c r="AN15" s="24"/>
      <c r="AO15" s="24"/>
      <c r="AP15" s="24"/>
      <c r="AQ15" s="24"/>
    </row>
    <row r="16" spans="2:43" x14ac:dyDescent="0.3">
      <c r="D16" s="6"/>
      <c r="E16" s="6"/>
      <c r="F16" s="6"/>
      <c r="G16" s="6"/>
      <c r="H16" s="6"/>
      <c r="I16" s="6"/>
      <c r="J16" s="6"/>
      <c r="K16" s="6"/>
      <c r="L16" s="6"/>
      <c r="M16" s="6"/>
      <c r="N16" s="6"/>
      <c r="O16" s="6"/>
      <c r="P16" s="6"/>
      <c r="Q16" s="6"/>
      <c r="R16" s="6"/>
      <c r="S16" s="6"/>
      <c r="T16" s="6"/>
      <c r="U16" s="6"/>
      <c r="V16" s="6"/>
      <c r="AC16" s="24"/>
      <c r="AD16" s="24"/>
      <c r="AE16" s="24"/>
      <c r="AF16" s="24"/>
      <c r="AG16" s="24"/>
      <c r="AH16" s="24"/>
      <c r="AI16" s="24"/>
      <c r="AJ16" s="24"/>
      <c r="AK16" s="24"/>
      <c r="AL16" s="24"/>
      <c r="AM16" s="24"/>
      <c r="AN16" s="24"/>
      <c r="AO16" s="24"/>
      <c r="AP16" s="24"/>
      <c r="AQ16" s="24"/>
    </row>
    <row r="17" spans="4:43" x14ac:dyDescent="0.3">
      <c r="D17" s="6"/>
      <c r="E17" s="6"/>
      <c r="F17" s="6"/>
      <c r="G17" s="6"/>
      <c r="H17" s="6"/>
      <c r="I17" s="6"/>
      <c r="J17" s="6"/>
      <c r="K17" s="6"/>
      <c r="L17" s="6"/>
      <c r="M17" s="6"/>
      <c r="N17" s="6"/>
      <c r="O17" s="6"/>
      <c r="P17" s="6"/>
      <c r="Q17" s="6"/>
      <c r="R17" s="6"/>
      <c r="S17" s="6"/>
      <c r="T17" s="6"/>
      <c r="U17" s="6"/>
      <c r="V17" s="6"/>
      <c r="AC17" s="24"/>
      <c r="AD17" s="24"/>
      <c r="AE17" s="24"/>
      <c r="AF17" s="24"/>
      <c r="AG17" s="24"/>
      <c r="AH17" s="24"/>
      <c r="AI17" s="24"/>
      <c r="AJ17" s="24"/>
      <c r="AK17" s="24"/>
      <c r="AL17" s="24"/>
      <c r="AM17" s="24"/>
      <c r="AN17" s="24"/>
      <c r="AO17" s="24"/>
      <c r="AP17" s="24"/>
      <c r="AQ17" s="24"/>
    </row>
    <row r="18" spans="4:43" x14ac:dyDescent="0.3">
      <c r="D18" s="6"/>
      <c r="E18" s="6"/>
      <c r="F18" s="6"/>
      <c r="G18" s="6"/>
      <c r="H18" s="6"/>
      <c r="I18" s="6"/>
      <c r="J18" s="6"/>
      <c r="K18" s="6"/>
      <c r="L18" s="6"/>
      <c r="M18" s="6"/>
      <c r="N18" s="6"/>
      <c r="O18" s="6"/>
      <c r="P18" s="6"/>
      <c r="Q18" s="6"/>
      <c r="R18" s="6"/>
      <c r="S18" s="6"/>
      <c r="T18" s="6"/>
      <c r="U18" s="6"/>
      <c r="V18" s="6"/>
      <c r="AC18" s="24"/>
      <c r="AD18" s="24"/>
      <c r="AE18" s="24"/>
      <c r="AF18" s="24"/>
      <c r="AG18" s="24"/>
      <c r="AH18" s="24"/>
      <c r="AI18" s="24"/>
      <c r="AJ18" s="24"/>
      <c r="AK18" s="24"/>
      <c r="AL18" s="24"/>
      <c r="AM18" s="24"/>
      <c r="AN18" s="24"/>
      <c r="AO18" s="24"/>
      <c r="AP18" s="24"/>
      <c r="AQ18" s="24"/>
    </row>
    <row r="19" spans="4:43" x14ac:dyDescent="0.3">
      <c r="D19" s="6"/>
      <c r="E19" s="6"/>
      <c r="F19" s="6"/>
      <c r="G19" s="6"/>
      <c r="H19" s="6"/>
      <c r="I19" s="6"/>
      <c r="J19" s="6"/>
      <c r="K19" s="6"/>
      <c r="L19" s="6"/>
      <c r="M19" s="6"/>
      <c r="N19" s="6"/>
      <c r="O19" s="6"/>
      <c r="P19" s="6"/>
      <c r="Q19" s="6"/>
      <c r="R19" s="6"/>
      <c r="S19" s="6"/>
      <c r="T19" s="6"/>
      <c r="U19" s="6"/>
      <c r="V19" s="6"/>
      <c r="AC19" s="24"/>
      <c r="AD19" s="24"/>
      <c r="AE19" s="24"/>
      <c r="AF19" s="24"/>
      <c r="AG19" s="24"/>
      <c r="AH19" s="24"/>
      <c r="AI19" s="24"/>
      <c r="AJ19" s="24"/>
      <c r="AK19" s="24"/>
      <c r="AL19" s="24"/>
      <c r="AM19" s="24"/>
      <c r="AN19" s="24"/>
      <c r="AO19" s="24"/>
      <c r="AP19" s="24"/>
      <c r="AQ19" s="24"/>
    </row>
    <row r="20" spans="4:43" x14ac:dyDescent="0.3">
      <c r="D20" s="6"/>
      <c r="E20" s="6"/>
      <c r="F20" s="6"/>
      <c r="G20" s="6"/>
      <c r="H20" s="6"/>
      <c r="I20" s="6"/>
      <c r="J20" s="6"/>
      <c r="K20" s="6"/>
      <c r="L20" s="6"/>
      <c r="M20" s="6"/>
      <c r="N20" s="6"/>
      <c r="O20" s="6"/>
      <c r="P20" s="6"/>
      <c r="Q20" s="6"/>
      <c r="R20" s="6"/>
      <c r="S20" s="6"/>
      <c r="T20" s="6"/>
      <c r="U20" s="6"/>
      <c r="V20" s="6"/>
      <c r="AC20" s="24"/>
      <c r="AD20" s="24"/>
      <c r="AE20" s="24"/>
      <c r="AF20" s="24"/>
      <c r="AG20" s="24"/>
      <c r="AH20" s="24"/>
      <c r="AI20" s="24"/>
      <c r="AJ20" s="24"/>
      <c r="AK20" s="24"/>
      <c r="AL20" s="24"/>
      <c r="AM20" s="24"/>
      <c r="AN20" s="24"/>
      <c r="AO20" s="24"/>
      <c r="AP20" s="24"/>
      <c r="AQ20" s="24"/>
    </row>
    <row r="21" spans="4:43" x14ac:dyDescent="0.3">
      <c r="D21" s="6"/>
      <c r="E21" s="6"/>
      <c r="F21" s="6"/>
      <c r="G21" s="6"/>
      <c r="H21" s="6"/>
      <c r="I21" s="6"/>
      <c r="J21" s="6"/>
      <c r="K21" s="6"/>
      <c r="L21" s="6"/>
      <c r="M21" s="6"/>
      <c r="N21" s="6"/>
      <c r="O21" s="6"/>
      <c r="P21" s="6"/>
      <c r="Q21" s="6"/>
      <c r="R21" s="6"/>
      <c r="S21" s="6"/>
      <c r="T21" s="6"/>
      <c r="U21" s="6"/>
      <c r="V21" s="6"/>
      <c r="AC21" s="24"/>
      <c r="AD21" s="24"/>
      <c r="AE21" s="24"/>
      <c r="AF21" s="24"/>
      <c r="AG21" s="24"/>
      <c r="AH21" s="24"/>
      <c r="AI21" s="24"/>
      <c r="AJ21" s="24"/>
      <c r="AK21" s="24"/>
      <c r="AL21" s="24"/>
      <c r="AM21" s="24"/>
      <c r="AN21" s="24"/>
      <c r="AO21" s="24"/>
      <c r="AP21" s="24"/>
      <c r="AQ21" s="24"/>
    </row>
    <row r="22" spans="4:43" x14ac:dyDescent="0.3">
      <c r="D22" s="6"/>
      <c r="E22" s="6"/>
      <c r="F22" s="6"/>
      <c r="G22" s="6"/>
      <c r="H22" s="6"/>
      <c r="I22" s="6"/>
      <c r="J22" s="6"/>
      <c r="K22" s="6"/>
      <c r="L22" s="6"/>
      <c r="M22" s="6"/>
      <c r="N22" s="6"/>
      <c r="O22" s="6"/>
      <c r="P22" s="6"/>
      <c r="Q22" s="6"/>
      <c r="R22" s="6"/>
      <c r="S22" s="6"/>
      <c r="T22" s="6"/>
      <c r="U22" s="6"/>
      <c r="V22" s="6"/>
      <c r="AC22" s="24"/>
      <c r="AD22" s="24"/>
      <c r="AE22" s="24"/>
      <c r="AF22" s="24"/>
      <c r="AG22" s="24"/>
      <c r="AH22" s="24"/>
      <c r="AI22" s="24"/>
      <c r="AJ22" s="24"/>
      <c r="AK22" s="24"/>
      <c r="AL22" s="24"/>
      <c r="AM22" s="24"/>
      <c r="AN22" s="24"/>
      <c r="AO22" s="24"/>
      <c r="AP22" s="24"/>
      <c r="AQ22" s="24"/>
    </row>
    <row r="23" spans="4:43" x14ac:dyDescent="0.3">
      <c r="D23" s="6"/>
      <c r="E23" s="6"/>
      <c r="F23" s="6"/>
      <c r="G23" s="6"/>
      <c r="H23" s="6"/>
      <c r="I23" s="6"/>
      <c r="J23" s="6"/>
      <c r="K23" s="6"/>
      <c r="L23" s="6"/>
      <c r="M23" s="6"/>
      <c r="N23" s="6"/>
      <c r="O23" s="6"/>
      <c r="P23" s="6"/>
      <c r="Q23" s="6"/>
      <c r="R23" s="6"/>
      <c r="S23" s="6"/>
      <c r="T23" s="6"/>
      <c r="U23" s="6"/>
      <c r="V23" s="6"/>
      <c r="AC23" s="24"/>
      <c r="AD23" s="24"/>
      <c r="AE23" s="24"/>
      <c r="AF23" s="24"/>
      <c r="AG23" s="24"/>
      <c r="AH23" s="24"/>
      <c r="AI23" s="24"/>
      <c r="AJ23" s="24"/>
      <c r="AK23" s="24"/>
      <c r="AL23" s="24"/>
      <c r="AM23" s="24"/>
      <c r="AN23" s="24"/>
      <c r="AO23" s="24"/>
      <c r="AP23" s="24"/>
      <c r="AQ23" s="24"/>
    </row>
    <row r="24" spans="4:43" x14ac:dyDescent="0.3">
      <c r="D24" s="6"/>
      <c r="E24" s="6"/>
      <c r="F24" s="6"/>
      <c r="G24" s="6"/>
      <c r="H24" s="6"/>
      <c r="I24" s="6"/>
      <c r="J24" s="6"/>
      <c r="K24" s="6"/>
      <c r="L24" s="6"/>
      <c r="M24" s="6"/>
      <c r="N24" s="6"/>
      <c r="O24" s="6"/>
      <c r="P24" s="6"/>
      <c r="Q24" s="6"/>
      <c r="R24" s="6"/>
      <c r="S24" s="6"/>
      <c r="T24" s="6"/>
      <c r="U24" s="6"/>
      <c r="V24" s="6"/>
      <c r="AC24" s="24"/>
      <c r="AD24" s="24"/>
      <c r="AE24" s="24"/>
      <c r="AF24" s="24"/>
      <c r="AG24" s="24"/>
      <c r="AH24" s="24"/>
      <c r="AI24" s="24"/>
      <c r="AJ24" s="24"/>
      <c r="AK24" s="24"/>
      <c r="AL24" s="24"/>
      <c r="AM24" s="24"/>
      <c r="AN24" s="24"/>
      <c r="AO24" s="24"/>
      <c r="AP24" s="24"/>
      <c r="AQ24" s="24"/>
    </row>
    <row r="25" spans="4:43" x14ac:dyDescent="0.3">
      <c r="D25" s="6"/>
      <c r="E25" s="6"/>
      <c r="F25" s="6"/>
      <c r="G25" s="6"/>
      <c r="H25" s="6"/>
      <c r="I25" s="6"/>
      <c r="J25" s="6"/>
      <c r="K25" s="6"/>
      <c r="L25" s="6"/>
      <c r="M25" s="6"/>
      <c r="N25" s="6"/>
      <c r="O25" s="6"/>
      <c r="P25" s="6"/>
      <c r="Q25" s="6"/>
      <c r="R25" s="6"/>
      <c r="S25" s="6"/>
      <c r="T25" s="6"/>
      <c r="U25" s="6"/>
      <c r="V25" s="6"/>
      <c r="AC25" s="24"/>
      <c r="AD25" s="24"/>
      <c r="AE25" s="24"/>
      <c r="AF25" s="24"/>
      <c r="AG25" s="24"/>
      <c r="AH25" s="24"/>
      <c r="AI25" s="24"/>
      <c r="AJ25" s="24"/>
      <c r="AK25" s="24"/>
      <c r="AL25" s="24"/>
      <c r="AM25" s="24"/>
      <c r="AN25" s="24"/>
      <c r="AO25" s="24"/>
      <c r="AP25" s="24"/>
      <c r="AQ25" s="24"/>
    </row>
    <row r="26" spans="4:43" x14ac:dyDescent="0.3">
      <c r="D26" s="6"/>
      <c r="E26" s="6"/>
      <c r="F26" s="6"/>
      <c r="G26" s="6"/>
      <c r="H26" s="6"/>
      <c r="I26" s="6"/>
      <c r="J26" s="6"/>
      <c r="K26" s="6"/>
      <c r="L26" s="6"/>
      <c r="M26" s="6"/>
      <c r="N26" s="6"/>
      <c r="O26" s="6"/>
      <c r="P26" s="6"/>
      <c r="Q26" s="6"/>
      <c r="R26" s="6"/>
      <c r="S26" s="6"/>
      <c r="T26" s="6"/>
      <c r="U26" s="6"/>
      <c r="V26" s="6"/>
      <c r="AC26" s="24"/>
      <c r="AD26" s="24"/>
      <c r="AE26" s="24"/>
      <c r="AF26" s="24"/>
      <c r="AG26" s="24"/>
      <c r="AH26" s="24"/>
      <c r="AI26" s="24"/>
      <c r="AJ26" s="24"/>
      <c r="AK26" s="24"/>
      <c r="AL26" s="24"/>
      <c r="AM26" s="24"/>
      <c r="AN26" s="24"/>
      <c r="AO26" s="24"/>
      <c r="AP26" s="24"/>
      <c r="AQ26" s="24"/>
    </row>
    <row r="27" spans="4:43" x14ac:dyDescent="0.3">
      <c r="D27" s="6"/>
      <c r="E27" s="6"/>
      <c r="F27" s="6"/>
      <c r="G27" s="6"/>
      <c r="H27" s="6"/>
      <c r="I27" s="6"/>
      <c r="J27" s="6"/>
      <c r="K27" s="6"/>
      <c r="L27" s="6"/>
      <c r="M27" s="6"/>
      <c r="N27" s="6"/>
      <c r="O27" s="6"/>
      <c r="P27" s="6"/>
      <c r="Q27" s="6"/>
      <c r="R27" s="6"/>
      <c r="S27" s="6"/>
      <c r="T27" s="6"/>
      <c r="U27" s="6"/>
      <c r="V27" s="6"/>
      <c r="AC27" s="24"/>
      <c r="AD27" s="24"/>
      <c r="AE27" s="24"/>
      <c r="AF27" s="24"/>
      <c r="AG27" s="24"/>
      <c r="AH27" s="24"/>
      <c r="AI27" s="24"/>
      <c r="AJ27" s="24"/>
      <c r="AK27" s="24"/>
      <c r="AL27" s="24"/>
      <c r="AM27" s="24"/>
      <c r="AN27" s="24"/>
      <c r="AO27" s="24"/>
      <c r="AP27" s="24"/>
      <c r="AQ27" s="24"/>
    </row>
    <row r="28" spans="4:43" x14ac:dyDescent="0.3">
      <c r="D28" s="6"/>
      <c r="E28" s="6"/>
      <c r="F28" s="6"/>
      <c r="G28" s="6"/>
      <c r="H28" s="6"/>
      <c r="I28" s="6"/>
      <c r="J28" s="6"/>
      <c r="K28" s="6"/>
      <c r="L28" s="6"/>
      <c r="M28" s="6"/>
      <c r="N28" s="6"/>
      <c r="O28" s="6"/>
      <c r="P28" s="6"/>
      <c r="Q28" s="6"/>
      <c r="R28" s="6"/>
      <c r="S28" s="6"/>
      <c r="T28" s="6"/>
      <c r="U28" s="6"/>
      <c r="V28" s="6"/>
      <c r="AC28" s="24"/>
      <c r="AD28" s="24"/>
      <c r="AE28" s="24"/>
      <c r="AF28" s="24"/>
      <c r="AG28" s="24"/>
      <c r="AH28" s="24"/>
      <c r="AI28" s="24"/>
      <c r="AJ28" s="24"/>
      <c r="AK28" s="24"/>
      <c r="AL28" s="24"/>
      <c r="AM28" s="24"/>
      <c r="AN28" s="24"/>
      <c r="AO28" s="24"/>
      <c r="AP28" s="24"/>
      <c r="AQ28" s="24"/>
    </row>
    <row r="29" spans="4:43" x14ac:dyDescent="0.3">
      <c r="D29" s="6"/>
      <c r="E29" s="6"/>
      <c r="F29" s="6"/>
      <c r="G29" s="6"/>
      <c r="H29" s="6"/>
      <c r="I29" s="6"/>
      <c r="J29" s="6"/>
      <c r="K29" s="6"/>
      <c r="L29" s="6"/>
      <c r="M29" s="6"/>
      <c r="N29" s="6"/>
      <c r="O29" s="6"/>
      <c r="P29" s="6"/>
      <c r="Q29" s="6"/>
      <c r="R29" s="6"/>
      <c r="S29" s="6"/>
      <c r="T29" s="6"/>
      <c r="U29" s="6"/>
      <c r="V29" s="6"/>
      <c r="AC29" s="24"/>
      <c r="AD29" s="24"/>
      <c r="AE29" s="24"/>
      <c r="AF29" s="24"/>
      <c r="AG29" s="24"/>
      <c r="AH29" s="24"/>
      <c r="AI29" s="24"/>
      <c r="AJ29" s="24"/>
      <c r="AK29" s="24"/>
      <c r="AL29" s="24"/>
      <c r="AM29" s="24"/>
      <c r="AN29" s="24"/>
      <c r="AO29" s="24"/>
      <c r="AP29" s="24"/>
      <c r="AQ29" s="24"/>
    </row>
    <row r="30" spans="4:43" x14ac:dyDescent="0.3">
      <c r="D30" s="6"/>
      <c r="E30" s="6"/>
      <c r="F30" s="6"/>
      <c r="G30" s="6"/>
      <c r="H30" s="6"/>
      <c r="I30" s="6"/>
      <c r="J30" s="6"/>
      <c r="K30" s="6"/>
      <c r="L30" s="6"/>
      <c r="M30" s="6"/>
      <c r="N30" s="6"/>
      <c r="O30" s="6"/>
      <c r="P30" s="6"/>
      <c r="Q30" s="6"/>
      <c r="R30" s="6"/>
      <c r="S30" s="6"/>
      <c r="T30" s="6"/>
      <c r="U30" s="6"/>
      <c r="V30" s="6"/>
      <c r="AC30" s="24"/>
      <c r="AD30" s="24"/>
      <c r="AE30" s="24"/>
      <c r="AF30" s="24"/>
      <c r="AG30" s="24"/>
      <c r="AH30" s="24"/>
      <c r="AI30" s="24"/>
      <c r="AJ30" s="24"/>
      <c r="AK30" s="24"/>
      <c r="AL30" s="24"/>
      <c r="AM30" s="24"/>
      <c r="AN30" s="24"/>
      <c r="AO30" s="24"/>
      <c r="AP30" s="24"/>
      <c r="AQ30" s="24"/>
    </row>
    <row r="31" spans="4:43" x14ac:dyDescent="0.3">
      <c r="D31" s="6"/>
      <c r="E31" s="6"/>
      <c r="F31" s="6"/>
      <c r="G31" s="6"/>
      <c r="H31" s="6"/>
      <c r="I31" s="6"/>
      <c r="J31" s="6"/>
      <c r="K31" s="6"/>
      <c r="L31" s="6"/>
      <c r="M31" s="6"/>
      <c r="N31" s="6"/>
      <c r="O31" s="6"/>
      <c r="P31" s="6"/>
      <c r="Q31" s="6"/>
      <c r="R31" s="6"/>
      <c r="S31" s="6"/>
      <c r="T31" s="6"/>
      <c r="U31" s="6"/>
      <c r="V31" s="6"/>
      <c r="AC31" s="24"/>
      <c r="AD31" s="24"/>
      <c r="AE31" s="24"/>
      <c r="AF31" s="24"/>
      <c r="AG31" s="24"/>
      <c r="AH31" s="24"/>
      <c r="AI31" s="24"/>
      <c r="AJ31" s="24"/>
      <c r="AK31" s="24"/>
      <c r="AL31" s="24"/>
      <c r="AM31" s="24"/>
      <c r="AN31" s="24"/>
      <c r="AO31" s="24"/>
      <c r="AP31" s="24"/>
      <c r="AQ31" s="24"/>
    </row>
    <row r="32" spans="4:43" x14ac:dyDescent="0.3">
      <c r="D32" s="6"/>
      <c r="E32" s="6"/>
      <c r="F32" s="6"/>
      <c r="G32" s="6"/>
      <c r="H32" s="6"/>
      <c r="I32" s="6"/>
      <c r="J32" s="6"/>
      <c r="K32" s="6"/>
      <c r="L32" s="6"/>
      <c r="M32" s="6"/>
      <c r="N32" s="6"/>
      <c r="O32" s="6"/>
      <c r="P32" s="6"/>
      <c r="Q32" s="6"/>
      <c r="R32" s="6"/>
      <c r="S32" s="6"/>
      <c r="T32" s="6"/>
      <c r="U32" s="6"/>
      <c r="V32" s="6"/>
      <c r="AC32" s="24"/>
      <c r="AD32" s="24"/>
      <c r="AE32" s="24"/>
      <c r="AF32" s="24"/>
      <c r="AG32" s="24"/>
      <c r="AH32" s="24"/>
      <c r="AI32" s="24"/>
      <c r="AJ32" s="24"/>
      <c r="AK32" s="24"/>
      <c r="AL32" s="24"/>
      <c r="AM32" s="24"/>
      <c r="AN32" s="24"/>
      <c r="AO32" s="24"/>
      <c r="AP32" s="24"/>
      <c r="AQ32" s="24"/>
    </row>
    <row r="33" spans="4:43" x14ac:dyDescent="0.3">
      <c r="D33" s="6"/>
      <c r="E33" s="6"/>
      <c r="F33" s="6"/>
      <c r="G33" s="6"/>
      <c r="H33" s="6"/>
      <c r="I33" s="6"/>
      <c r="J33" s="6"/>
      <c r="K33" s="6"/>
      <c r="L33" s="6"/>
      <c r="M33" s="6"/>
      <c r="N33" s="6"/>
      <c r="O33" s="6"/>
      <c r="P33" s="6"/>
      <c r="Q33" s="6"/>
      <c r="R33" s="6"/>
      <c r="S33" s="6"/>
      <c r="T33" s="6"/>
      <c r="U33" s="6"/>
      <c r="V33" s="6"/>
      <c r="AC33" s="24"/>
      <c r="AD33" s="24"/>
      <c r="AE33" s="24"/>
      <c r="AF33" s="24"/>
      <c r="AG33" s="24"/>
      <c r="AH33" s="24"/>
      <c r="AI33" s="24"/>
      <c r="AJ33" s="24"/>
      <c r="AK33" s="24"/>
      <c r="AL33" s="24"/>
      <c r="AM33" s="24"/>
      <c r="AN33" s="24"/>
      <c r="AO33" s="24"/>
      <c r="AP33" s="24"/>
      <c r="AQ33" s="24"/>
    </row>
    <row r="34" spans="4:43" x14ac:dyDescent="0.3">
      <c r="D34" s="6"/>
      <c r="E34" s="6"/>
      <c r="F34" s="6"/>
      <c r="G34" s="6"/>
      <c r="H34" s="6"/>
      <c r="I34" s="6"/>
      <c r="J34" s="6"/>
      <c r="K34" s="6"/>
      <c r="L34" s="6"/>
      <c r="M34" s="6"/>
      <c r="N34" s="6"/>
      <c r="O34" s="6"/>
      <c r="P34" s="6"/>
      <c r="Q34" s="6"/>
      <c r="R34" s="6"/>
      <c r="S34" s="6"/>
      <c r="T34" s="6"/>
      <c r="U34" s="6"/>
      <c r="V34" s="6"/>
      <c r="AC34" s="24"/>
      <c r="AD34" s="24"/>
      <c r="AE34" s="24"/>
      <c r="AF34" s="24"/>
      <c r="AG34" s="24"/>
      <c r="AH34" s="24"/>
      <c r="AI34" s="24"/>
      <c r="AJ34" s="24"/>
      <c r="AK34" s="24"/>
      <c r="AL34" s="24"/>
      <c r="AM34" s="24"/>
      <c r="AN34" s="24"/>
      <c r="AO34" s="24"/>
      <c r="AP34" s="24"/>
      <c r="AQ34" s="24"/>
    </row>
    <row r="35" spans="4:43" x14ac:dyDescent="0.3">
      <c r="D35" s="6"/>
      <c r="E35" s="6"/>
      <c r="F35" s="6"/>
      <c r="G35" s="6"/>
      <c r="H35" s="6"/>
      <c r="I35" s="6"/>
      <c r="J35" s="6"/>
      <c r="K35" s="6"/>
      <c r="L35" s="6"/>
      <c r="M35" s="6"/>
      <c r="N35" s="6"/>
      <c r="O35" s="6"/>
      <c r="P35" s="6"/>
      <c r="Q35" s="6"/>
      <c r="R35" s="6"/>
      <c r="S35" s="6"/>
      <c r="T35" s="6"/>
      <c r="U35" s="6"/>
      <c r="V35" s="6"/>
      <c r="AC35" s="24"/>
      <c r="AD35" s="24"/>
      <c r="AE35" s="24"/>
      <c r="AF35" s="24"/>
      <c r="AG35" s="24"/>
      <c r="AH35" s="24"/>
      <c r="AI35" s="24"/>
      <c r="AJ35" s="24"/>
      <c r="AK35" s="24"/>
      <c r="AL35" s="24"/>
      <c r="AM35" s="24"/>
      <c r="AN35" s="24"/>
      <c r="AO35" s="24"/>
      <c r="AP35" s="24"/>
      <c r="AQ35" s="24"/>
    </row>
    <row r="36" spans="4:43" x14ac:dyDescent="0.3">
      <c r="D36" s="6"/>
      <c r="E36" s="6"/>
      <c r="F36" s="6"/>
      <c r="G36" s="6"/>
      <c r="H36" s="6"/>
      <c r="I36" s="6"/>
      <c r="J36" s="6"/>
      <c r="K36" s="6"/>
      <c r="L36" s="6"/>
      <c r="M36" s="6"/>
      <c r="N36" s="6"/>
      <c r="O36" s="6"/>
      <c r="P36" s="6"/>
      <c r="Q36" s="6"/>
      <c r="R36" s="6"/>
      <c r="S36" s="6"/>
      <c r="T36" s="6"/>
      <c r="U36" s="6"/>
      <c r="V36" s="6"/>
      <c r="AC36" s="24"/>
      <c r="AD36" s="24"/>
      <c r="AE36" s="24"/>
      <c r="AF36" s="24"/>
      <c r="AG36" s="24"/>
      <c r="AH36" s="24"/>
      <c r="AI36" s="24"/>
      <c r="AJ36" s="24"/>
      <c r="AK36" s="24"/>
      <c r="AL36" s="24"/>
      <c r="AM36" s="24"/>
      <c r="AN36" s="24"/>
      <c r="AO36" s="24"/>
      <c r="AP36" s="24"/>
      <c r="AQ36" s="24"/>
    </row>
    <row r="37" spans="4:43" x14ac:dyDescent="0.3">
      <c r="D37" s="6"/>
      <c r="E37" s="6"/>
      <c r="F37" s="6"/>
      <c r="G37" s="6"/>
      <c r="H37" s="6"/>
      <c r="I37" s="6"/>
      <c r="J37" s="6"/>
      <c r="K37" s="6"/>
      <c r="L37" s="6"/>
      <c r="M37" s="6"/>
      <c r="N37" s="6"/>
      <c r="O37" s="6"/>
      <c r="P37" s="6"/>
      <c r="Q37" s="6"/>
      <c r="R37" s="6"/>
      <c r="S37" s="6"/>
      <c r="T37" s="6"/>
      <c r="U37" s="6"/>
      <c r="V37" s="6"/>
    </row>
    <row r="41" spans="4:43" x14ac:dyDescent="0.3">
      <c r="AB41" s="27" t="s">
        <v>60</v>
      </c>
      <c r="AC41" s="28"/>
      <c r="AD41" s="28"/>
      <c r="AE41" s="28"/>
      <c r="AF41" s="28"/>
      <c r="AG41" s="28"/>
      <c r="AH41" s="29"/>
      <c r="AI41" s="29"/>
      <c r="AJ41" s="29"/>
      <c r="AK41" s="29"/>
      <c r="AL41" s="29"/>
      <c r="AM41" s="29"/>
      <c r="AN41" s="29"/>
      <c r="AO41" s="29"/>
      <c r="AP41" s="29"/>
    </row>
    <row r="42" spans="4:43" x14ac:dyDescent="0.3">
      <c r="AB42" s="28"/>
      <c r="AC42" s="28"/>
      <c r="AD42" s="28"/>
      <c r="AE42" s="28"/>
      <c r="AF42" s="28"/>
      <c r="AG42" s="28"/>
      <c r="AH42" s="29"/>
      <c r="AI42" s="29"/>
      <c r="AJ42" s="29"/>
      <c r="AK42" s="29"/>
      <c r="AL42" s="29"/>
      <c r="AM42" s="29"/>
      <c r="AN42" s="29"/>
      <c r="AO42" s="29"/>
      <c r="AP42" s="29"/>
    </row>
    <row r="43" spans="4:43" x14ac:dyDescent="0.3">
      <c r="AB43" s="25" t="s">
        <v>59</v>
      </c>
      <c r="AC43" s="26"/>
      <c r="AD43" s="26"/>
      <c r="AE43" s="26"/>
      <c r="AF43" s="26"/>
      <c r="AG43" s="26"/>
      <c r="AH43" s="26"/>
      <c r="AI43" s="26"/>
      <c r="AJ43" s="26"/>
      <c r="AK43" s="26"/>
      <c r="AL43" s="26"/>
      <c r="AM43" s="26"/>
      <c r="AN43" s="26"/>
      <c r="AO43" s="26"/>
      <c r="AP43" s="26"/>
    </row>
    <row r="44" spans="4:43" x14ac:dyDescent="0.3">
      <c r="AB44" s="26"/>
      <c r="AC44" s="26"/>
      <c r="AD44" s="26"/>
      <c r="AE44" s="26"/>
      <c r="AF44" s="26"/>
      <c r="AG44" s="26"/>
      <c r="AH44" s="26"/>
      <c r="AI44" s="26"/>
      <c r="AJ44" s="26"/>
      <c r="AK44" s="26"/>
      <c r="AL44" s="26"/>
      <c r="AM44" s="26"/>
      <c r="AN44" s="26"/>
      <c r="AO44" s="26"/>
      <c r="AP44" s="26"/>
    </row>
    <row r="45" spans="4:43" x14ac:dyDescent="0.3">
      <c r="AB45" s="26"/>
      <c r="AC45" s="26"/>
      <c r="AD45" s="26"/>
      <c r="AE45" s="26"/>
      <c r="AF45" s="26"/>
      <c r="AG45" s="26"/>
      <c r="AH45" s="26"/>
      <c r="AI45" s="26"/>
      <c r="AJ45" s="26"/>
      <c r="AK45" s="26"/>
      <c r="AL45" s="26"/>
      <c r="AM45" s="26"/>
      <c r="AN45" s="26"/>
      <c r="AO45" s="26"/>
      <c r="AP45" s="26"/>
    </row>
    <row r="46" spans="4:43" x14ac:dyDescent="0.3">
      <c r="AB46" s="26"/>
      <c r="AC46" s="26"/>
      <c r="AD46" s="26"/>
      <c r="AE46" s="26"/>
      <c r="AF46" s="26"/>
      <c r="AG46" s="26"/>
      <c r="AH46" s="26"/>
      <c r="AI46" s="26"/>
      <c r="AJ46" s="26"/>
      <c r="AK46" s="26"/>
      <c r="AL46" s="26"/>
      <c r="AM46" s="26"/>
      <c r="AN46" s="26"/>
      <c r="AO46" s="26"/>
      <c r="AP46" s="26"/>
    </row>
    <row r="47" spans="4:43" x14ac:dyDescent="0.3">
      <c r="AB47" s="26"/>
      <c r="AC47" s="26"/>
      <c r="AD47" s="26"/>
      <c r="AE47" s="26"/>
      <c r="AF47" s="26"/>
      <c r="AG47" s="26"/>
      <c r="AH47" s="26"/>
      <c r="AI47" s="26"/>
      <c r="AJ47" s="26"/>
      <c r="AK47" s="26"/>
      <c r="AL47" s="26"/>
      <c r="AM47" s="26"/>
      <c r="AN47" s="26"/>
      <c r="AO47" s="26"/>
      <c r="AP47" s="26"/>
    </row>
    <row r="48" spans="4:43" x14ac:dyDescent="0.3">
      <c r="AB48" s="26"/>
      <c r="AC48" s="26"/>
      <c r="AD48" s="26"/>
      <c r="AE48" s="26"/>
      <c r="AF48" s="26"/>
      <c r="AG48" s="26"/>
      <c r="AH48" s="26"/>
      <c r="AI48" s="26"/>
      <c r="AJ48" s="26"/>
      <c r="AK48" s="26"/>
      <c r="AL48" s="26"/>
      <c r="AM48" s="26"/>
      <c r="AN48" s="26"/>
      <c r="AO48" s="26"/>
      <c r="AP48" s="26"/>
    </row>
    <row r="49" spans="28:42" x14ac:dyDescent="0.3">
      <c r="AB49" s="26"/>
      <c r="AC49" s="26"/>
      <c r="AD49" s="26"/>
      <c r="AE49" s="26"/>
      <c r="AF49" s="26"/>
      <c r="AG49" s="26"/>
      <c r="AH49" s="26"/>
      <c r="AI49" s="26"/>
      <c r="AJ49" s="26"/>
      <c r="AK49" s="26"/>
      <c r="AL49" s="26"/>
      <c r="AM49" s="26"/>
      <c r="AN49" s="26"/>
      <c r="AO49" s="26"/>
      <c r="AP49" s="26"/>
    </row>
    <row r="50" spans="28:42" x14ac:dyDescent="0.3">
      <c r="AB50" s="26"/>
      <c r="AC50" s="26"/>
      <c r="AD50" s="26"/>
      <c r="AE50" s="26"/>
      <c r="AF50" s="26"/>
      <c r="AG50" s="26"/>
      <c r="AH50" s="26"/>
      <c r="AI50" s="26"/>
      <c r="AJ50" s="26"/>
      <c r="AK50" s="26"/>
      <c r="AL50" s="26"/>
      <c r="AM50" s="26"/>
      <c r="AN50" s="26"/>
      <c r="AO50" s="26"/>
      <c r="AP50" s="26"/>
    </row>
    <row r="51" spans="28:42" x14ac:dyDescent="0.3">
      <c r="AB51" s="26"/>
      <c r="AC51" s="26"/>
      <c r="AD51" s="26"/>
      <c r="AE51" s="26"/>
      <c r="AF51" s="26"/>
      <c r="AG51" s="26"/>
      <c r="AH51" s="26"/>
      <c r="AI51" s="26"/>
      <c r="AJ51" s="26"/>
      <c r="AK51" s="26"/>
      <c r="AL51" s="26"/>
      <c r="AM51" s="26"/>
      <c r="AN51" s="26"/>
      <c r="AO51" s="26"/>
      <c r="AP51" s="26"/>
    </row>
    <row r="52" spans="28:42" x14ac:dyDescent="0.3">
      <c r="AB52" s="26"/>
      <c r="AC52" s="26"/>
      <c r="AD52" s="26"/>
      <c r="AE52" s="26"/>
      <c r="AF52" s="26"/>
      <c r="AG52" s="26"/>
      <c r="AH52" s="26"/>
      <c r="AI52" s="26"/>
      <c r="AJ52" s="26"/>
      <c r="AK52" s="26"/>
      <c r="AL52" s="26"/>
      <c r="AM52" s="26"/>
      <c r="AN52" s="26"/>
      <c r="AO52" s="26"/>
      <c r="AP52" s="26"/>
    </row>
    <row r="53" spans="28:42" x14ac:dyDescent="0.3">
      <c r="AB53" s="26"/>
      <c r="AC53" s="26"/>
      <c r="AD53" s="26"/>
      <c r="AE53" s="26"/>
      <c r="AF53" s="26"/>
      <c r="AG53" s="26"/>
      <c r="AH53" s="26"/>
      <c r="AI53" s="26"/>
      <c r="AJ53" s="26"/>
      <c r="AK53" s="26"/>
      <c r="AL53" s="26"/>
      <c r="AM53" s="26"/>
      <c r="AN53" s="26"/>
      <c r="AO53" s="26"/>
      <c r="AP53" s="26"/>
    </row>
    <row r="54" spans="28:42" x14ac:dyDescent="0.3">
      <c r="AB54" s="26"/>
      <c r="AC54" s="26"/>
      <c r="AD54" s="26"/>
      <c r="AE54" s="26"/>
      <c r="AF54" s="26"/>
      <c r="AG54" s="26"/>
      <c r="AH54" s="26"/>
      <c r="AI54" s="26"/>
      <c r="AJ54" s="26"/>
      <c r="AK54" s="26"/>
      <c r="AL54" s="26"/>
      <c r="AM54" s="26"/>
      <c r="AN54" s="26"/>
      <c r="AO54" s="26"/>
      <c r="AP54" s="26"/>
    </row>
    <row r="55" spans="28:42" x14ac:dyDescent="0.3">
      <c r="AB55" s="26"/>
      <c r="AC55" s="26"/>
      <c r="AD55" s="26"/>
      <c r="AE55" s="26"/>
      <c r="AF55" s="26"/>
      <c r="AG55" s="26"/>
      <c r="AH55" s="26"/>
      <c r="AI55" s="26"/>
      <c r="AJ55" s="26"/>
      <c r="AK55" s="26"/>
      <c r="AL55" s="26"/>
      <c r="AM55" s="26"/>
      <c r="AN55" s="26"/>
      <c r="AO55" s="26"/>
      <c r="AP55" s="26"/>
    </row>
    <row r="56" spans="28:42" x14ac:dyDescent="0.3">
      <c r="AB56" s="26"/>
      <c r="AC56" s="26"/>
      <c r="AD56" s="26"/>
      <c r="AE56" s="26"/>
      <c r="AF56" s="26"/>
      <c r="AG56" s="26"/>
      <c r="AH56" s="26"/>
      <c r="AI56" s="26"/>
      <c r="AJ56" s="26"/>
      <c r="AK56" s="26"/>
      <c r="AL56" s="26"/>
      <c r="AM56" s="26"/>
      <c r="AN56" s="26"/>
      <c r="AO56" s="26"/>
      <c r="AP56" s="26"/>
    </row>
    <row r="59" spans="28:42" x14ac:dyDescent="0.3">
      <c r="AG59" s="22"/>
    </row>
  </sheetData>
  <mergeCells count="21">
    <mergeCell ref="B2:C6"/>
    <mergeCell ref="W2:Z3"/>
    <mergeCell ref="AC6:AQ36"/>
    <mergeCell ref="AB43:AP56"/>
    <mergeCell ref="AB41:AG42"/>
    <mergeCell ref="P4:P6"/>
    <mergeCell ref="S4:S6"/>
    <mergeCell ref="V4:V6"/>
    <mergeCell ref="D2:D3"/>
    <mergeCell ref="D4:D6"/>
    <mergeCell ref="D7:V37"/>
    <mergeCell ref="E2:V3"/>
    <mergeCell ref="E4:F6"/>
    <mergeCell ref="H4:I6"/>
    <mergeCell ref="K4:L6"/>
    <mergeCell ref="N4:O6"/>
    <mergeCell ref="Q4:R6"/>
    <mergeCell ref="T4:U6"/>
    <mergeCell ref="G4:G6"/>
    <mergeCell ref="J4:J6"/>
    <mergeCell ref="M4: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489B-5671-42DE-84A2-08208B9C425F}">
  <dimension ref="A3:K35"/>
  <sheetViews>
    <sheetView workbookViewId="0">
      <selection activeCell="F7" sqref="F7"/>
    </sheetView>
  </sheetViews>
  <sheetFormatPr defaultRowHeight="14.4" x14ac:dyDescent="0.3"/>
  <cols>
    <col min="1" max="1" width="12.88671875" bestFit="1" customWidth="1"/>
    <col min="2" max="2" width="28.44140625" bestFit="1" customWidth="1"/>
    <col min="7" max="7" width="14.5546875" bestFit="1" customWidth="1"/>
    <col min="8" max="8" width="15.5546875" bestFit="1" customWidth="1"/>
    <col min="9" max="9" width="3.88671875" bestFit="1" customWidth="1"/>
    <col min="10" max="10" width="10.5546875" bestFit="1" customWidth="1"/>
  </cols>
  <sheetData>
    <row r="3" spans="1:10" x14ac:dyDescent="0.3">
      <c r="A3" s="1" t="s">
        <v>33</v>
      </c>
      <c r="B3" t="s">
        <v>32</v>
      </c>
      <c r="G3" s="1" t="s">
        <v>28</v>
      </c>
      <c r="H3" s="1" t="s">
        <v>26</v>
      </c>
    </row>
    <row r="4" spans="1:10" x14ac:dyDescent="0.3">
      <c r="A4" s="2" t="s">
        <v>5</v>
      </c>
      <c r="B4" s="20">
        <v>30.14423076923077</v>
      </c>
      <c r="G4" s="1" t="s">
        <v>34</v>
      </c>
      <c r="H4" t="s">
        <v>5</v>
      </c>
      <c r="I4" t="s">
        <v>0</v>
      </c>
      <c r="J4" t="s">
        <v>25</v>
      </c>
    </row>
    <row r="5" spans="1:10" x14ac:dyDescent="0.3">
      <c r="A5" s="2" t="s">
        <v>0</v>
      </c>
      <c r="B5" s="20">
        <v>33.125</v>
      </c>
      <c r="G5" s="2" t="s">
        <v>1</v>
      </c>
      <c r="H5" s="20">
        <v>39</v>
      </c>
      <c r="I5" s="20">
        <v>26</v>
      </c>
      <c r="J5" s="20">
        <v>65</v>
      </c>
    </row>
    <row r="6" spans="1:10" x14ac:dyDescent="0.3">
      <c r="A6" s="2" t="s">
        <v>25</v>
      </c>
      <c r="B6" s="20">
        <v>31.574999999999999</v>
      </c>
      <c r="G6" s="2" t="s">
        <v>2</v>
      </c>
      <c r="H6" s="20">
        <v>32</v>
      </c>
      <c r="I6" s="20">
        <v>36</v>
      </c>
      <c r="J6" s="20">
        <v>68</v>
      </c>
    </row>
    <row r="7" spans="1:10" x14ac:dyDescent="0.3">
      <c r="G7" s="2" t="s">
        <v>6</v>
      </c>
      <c r="H7" s="20">
        <v>33</v>
      </c>
      <c r="I7" s="20">
        <v>34</v>
      </c>
      <c r="J7" s="20">
        <v>67</v>
      </c>
    </row>
    <row r="8" spans="1:10" x14ac:dyDescent="0.3">
      <c r="G8" s="2" t="s">
        <v>25</v>
      </c>
      <c r="H8" s="20">
        <v>104</v>
      </c>
      <c r="I8" s="20">
        <v>96</v>
      </c>
      <c r="J8" s="20">
        <v>200</v>
      </c>
    </row>
    <row r="28" spans="3:11" x14ac:dyDescent="0.3">
      <c r="C28" s="7" t="s">
        <v>51</v>
      </c>
      <c r="D28" s="8"/>
      <c r="E28" s="8"/>
      <c r="F28" s="8"/>
      <c r="G28" s="8"/>
      <c r="H28" s="8"/>
      <c r="I28" s="8"/>
      <c r="J28" s="8"/>
      <c r="K28" s="8"/>
    </row>
    <row r="29" spans="3:11" x14ac:dyDescent="0.3">
      <c r="C29" s="8"/>
      <c r="D29" s="8"/>
      <c r="E29" s="8"/>
      <c r="F29" s="8"/>
      <c r="G29" s="8"/>
      <c r="H29" s="8"/>
      <c r="I29" s="8"/>
      <c r="J29" s="8"/>
      <c r="K29" s="8"/>
    </row>
    <row r="30" spans="3:11" x14ac:dyDescent="0.3">
      <c r="C30" s="8"/>
      <c r="D30" s="8"/>
      <c r="E30" s="8"/>
      <c r="F30" s="8"/>
      <c r="G30" s="8"/>
      <c r="H30" s="8"/>
      <c r="I30" s="8"/>
      <c r="J30" s="8"/>
      <c r="K30" s="8"/>
    </row>
    <row r="31" spans="3:11" x14ac:dyDescent="0.3">
      <c r="C31" s="8"/>
      <c r="D31" s="8"/>
      <c r="E31" s="8"/>
      <c r="F31" s="8"/>
      <c r="G31" s="8"/>
      <c r="H31" s="8"/>
      <c r="I31" s="8"/>
      <c r="J31" s="8"/>
      <c r="K31" s="8"/>
    </row>
    <row r="32" spans="3:11" x14ac:dyDescent="0.3">
      <c r="C32" s="8"/>
      <c r="D32" s="8"/>
      <c r="E32" s="8"/>
      <c r="F32" s="8"/>
      <c r="G32" s="8"/>
      <c r="H32" s="8"/>
      <c r="I32" s="8"/>
      <c r="J32" s="8"/>
      <c r="K32" s="8"/>
    </row>
    <row r="33" spans="3:11" x14ac:dyDescent="0.3">
      <c r="C33" s="8"/>
      <c r="D33" s="8"/>
      <c r="E33" s="8"/>
      <c r="F33" s="8"/>
      <c r="G33" s="8"/>
      <c r="H33" s="8"/>
      <c r="I33" s="8"/>
      <c r="J33" s="8"/>
      <c r="K33" s="8"/>
    </row>
    <row r="34" spans="3:11" x14ac:dyDescent="0.3">
      <c r="C34" s="8"/>
      <c r="D34" s="8"/>
      <c r="E34" s="8"/>
      <c r="F34" s="8"/>
      <c r="G34" s="8"/>
      <c r="H34" s="8"/>
      <c r="I34" s="8"/>
      <c r="J34" s="8"/>
      <c r="K34" s="8"/>
    </row>
    <row r="35" spans="3:11" x14ac:dyDescent="0.3">
      <c r="C35" s="8"/>
      <c r="D35" s="8"/>
      <c r="E35" s="8"/>
      <c r="F35" s="8"/>
      <c r="G35" s="8"/>
      <c r="H35" s="8"/>
      <c r="I35" s="8"/>
      <c r="J35" s="8"/>
      <c r="K35" s="8"/>
    </row>
  </sheetData>
  <mergeCells count="1">
    <mergeCell ref="C28:K35"/>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7969-5A00-4D2A-A5B2-F6E7266DF092}">
  <dimension ref="A3:L36"/>
  <sheetViews>
    <sheetView topLeftCell="A16" zoomScale="87" workbookViewId="0">
      <selection activeCell="B41" sqref="B41"/>
    </sheetView>
  </sheetViews>
  <sheetFormatPr defaultRowHeight="14.4" x14ac:dyDescent="0.3"/>
  <cols>
    <col min="1" max="1" width="10.5546875" bestFit="1" customWidth="1"/>
    <col min="2" max="2" width="24.88671875" bestFit="1" customWidth="1"/>
    <col min="7" max="7" width="24.88671875" bestFit="1" customWidth="1"/>
    <col min="8" max="8" width="15.77734375" bestFit="1" customWidth="1"/>
    <col min="9" max="9" width="4.21875" bestFit="1" customWidth="1"/>
    <col min="10" max="10" width="7.77734375" bestFit="1" customWidth="1"/>
    <col min="11" max="11" width="10.5546875" bestFit="1" customWidth="1"/>
  </cols>
  <sheetData>
    <row r="3" spans="1:11" x14ac:dyDescent="0.3">
      <c r="A3" s="1" t="s">
        <v>31</v>
      </c>
      <c r="B3" t="s">
        <v>30</v>
      </c>
      <c r="G3" s="1" t="s">
        <v>30</v>
      </c>
      <c r="H3" s="1" t="s">
        <v>26</v>
      </c>
    </row>
    <row r="4" spans="1:11" x14ac:dyDescent="0.3">
      <c r="A4" s="2" t="s">
        <v>3</v>
      </c>
      <c r="B4" s="20">
        <v>66</v>
      </c>
      <c r="G4" s="1" t="s">
        <v>24</v>
      </c>
      <c r="H4" t="s">
        <v>1</v>
      </c>
      <c r="I4" t="s">
        <v>2</v>
      </c>
      <c r="J4" t="s">
        <v>6</v>
      </c>
      <c r="K4" t="s">
        <v>25</v>
      </c>
    </row>
    <row r="5" spans="1:11" x14ac:dyDescent="0.3">
      <c r="A5" s="2" t="s">
        <v>7</v>
      </c>
      <c r="B5" s="20">
        <v>70</v>
      </c>
      <c r="G5" s="2" t="s">
        <v>1</v>
      </c>
      <c r="H5" s="20">
        <v>23</v>
      </c>
      <c r="I5" s="20">
        <v>22</v>
      </c>
      <c r="J5" s="20">
        <v>21</v>
      </c>
      <c r="K5" s="20">
        <v>66</v>
      </c>
    </row>
    <row r="6" spans="1:11" x14ac:dyDescent="0.3">
      <c r="A6" s="2" t="s">
        <v>9</v>
      </c>
      <c r="B6" s="20">
        <v>64</v>
      </c>
      <c r="G6" s="2" t="s">
        <v>2</v>
      </c>
      <c r="H6" s="20">
        <v>23</v>
      </c>
      <c r="I6" s="20">
        <v>23</v>
      </c>
      <c r="J6" s="20">
        <v>28</v>
      </c>
      <c r="K6" s="20">
        <v>74</v>
      </c>
    </row>
    <row r="7" spans="1:11" x14ac:dyDescent="0.3">
      <c r="A7" s="2" t="s">
        <v>25</v>
      </c>
      <c r="B7" s="20">
        <v>200</v>
      </c>
      <c r="G7" s="2" t="s">
        <v>6</v>
      </c>
      <c r="H7" s="20">
        <v>22</v>
      </c>
      <c r="I7" s="20">
        <v>24</v>
      </c>
      <c r="J7" s="20">
        <v>14</v>
      </c>
      <c r="K7" s="20">
        <v>60</v>
      </c>
    </row>
    <row r="8" spans="1:11" x14ac:dyDescent="0.3">
      <c r="G8" s="2" t="s">
        <v>25</v>
      </c>
      <c r="H8" s="20">
        <v>68</v>
      </c>
      <c r="I8" s="20">
        <v>69</v>
      </c>
      <c r="J8" s="20">
        <v>63</v>
      </c>
      <c r="K8" s="20">
        <v>200</v>
      </c>
    </row>
    <row r="33" spans="2:12" x14ac:dyDescent="0.3">
      <c r="B33" s="7" t="s">
        <v>48</v>
      </c>
      <c r="C33" s="8"/>
      <c r="D33" s="8"/>
      <c r="E33" s="8"/>
      <c r="F33" s="8"/>
      <c r="G33" s="8"/>
      <c r="H33" s="8"/>
      <c r="I33" s="8"/>
      <c r="J33" s="8"/>
      <c r="K33" s="8"/>
      <c r="L33" s="8"/>
    </row>
    <row r="34" spans="2:12" x14ac:dyDescent="0.3">
      <c r="B34" s="8"/>
      <c r="C34" s="8"/>
      <c r="D34" s="8"/>
      <c r="E34" s="8"/>
      <c r="F34" s="8"/>
      <c r="G34" s="8"/>
      <c r="H34" s="8"/>
      <c r="I34" s="8"/>
      <c r="J34" s="8"/>
      <c r="K34" s="8"/>
      <c r="L34" s="8"/>
    </row>
    <row r="35" spans="2:12" x14ac:dyDescent="0.3">
      <c r="B35" s="8"/>
      <c r="C35" s="8"/>
      <c r="D35" s="8"/>
      <c r="E35" s="8"/>
      <c r="F35" s="8"/>
      <c r="G35" s="8"/>
      <c r="H35" s="8"/>
      <c r="I35" s="8"/>
      <c r="J35" s="8"/>
      <c r="K35" s="8"/>
      <c r="L35" s="8"/>
    </row>
    <row r="36" spans="2:12" x14ac:dyDescent="0.3">
      <c r="B36" s="8"/>
      <c r="C36" s="8"/>
      <c r="D36" s="8"/>
      <c r="E36" s="8"/>
      <c r="F36" s="8"/>
      <c r="G36" s="8"/>
      <c r="H36" s="8"/>
      <c r="I36" s="8"/>
      <c r="J36" s="8"/>
      <c r="K36" s="8"/>
      <c r="L36" s="8"/>
    </row>
  </sheetData>
  <mergeCells count="1">
    <mergeCell ref="B33:L36"/>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EC2-39E4-42B7-9167-2E73DF0A8A25}">
  <dimension ref="A1:I35"/>
  <sheetViews>
    <sheetView workbookViewId="0">
      <selection activeCell="J37" sqref="J37"/>
    </sheetView>
  </sheetViews>
  <sheetFormatPr defaultRowHeight="14.4" x14ac:dyDescent="0.3"/>
  <cols>
    <col min="1" max="1" width="14.5546875" bestFit="1" customWidth="1"/>
    <col min="2" max="2" width="15.5546875" bestFit="1" customWidth="1"/>
    <col min="3" max="3" width="4.21875" bestFit="1" customWidth="1"/>
    <col min="4" max="4" width="7.77734375" bestFit="1" customWidth="1"/>
    <col min="5" max="5" width="10.5546875" bestFit="1" customWidth="1"/>
  </cols>
  <sheetData>
    <row r="1" spans="1:5" x14ac:dyDescent="0.3">
      <c r="A1" s="9" t="s">
        <v>29</v>
      </c>
      <c r="B1" s="9"/>
      <c r="C1" s="9"/>
      <c r="D1" s="9"/>
      <c r="E1" s="9"/>
    </row>
    <row r="3" spans="1:5" x14ac:dyDescent="0.3">
      <c r="A3" s="1" t="s">
        <v>28</v>
      </c>
      <c r="B3" s="1" t="s">
        <v>26</v>
      </c>
    </row>
    <row r="4" spans="1:5" x14ac:dyDescent="0.3">
      <c r="A4" s="1" t="s">
        <v>24</v>
      </c>
      <c r="B4" t="s">
        <v>1</v>
      </c>
      <c r="C4" t="s">
        <v>2</v>
      </c>
      <c r="D4" t="s">
        <v>6</v>
      </c>
      <c r="E4" t="s">
        <v>25</v>
      </c>
    </row>
    <row r="5" spans="1:5" x14ac:dyDescent="0.3">
      <c r="A5" s="2">
        <v>0</v>
      </c>
      <c r="B5" s="20">
        <v>7</v>
      </c>
      <c r="C5" s="20">
        <v>10</v>
      </c>
      <c r="D5" s="20">
        <v>15</v>
      </c>
      <c r="E5" s="20">
        <v>32</v>
      </c>
    </row>
    <row r="6" spans="1:5" x14ac:dyDescent="0.3">
      <c r="A6" s="2">
        <v>15</v>
      </c>
      <c r="B6" s="20">
        <v>20</v>
      </c>
      <c r="C6" s="20">
        <v>10</v>
      </c>
      <c r="D6" s="20">
        <v>15</v>
      </c>
      <c r="E6" s="20">
        <v>45</v>
      </c>
    </row>
    <row r="7" spans="1:5" x14ac:dyDescent="0.3">
      <c r="A7" s="2">
        <v>30</v>
      </c>
      <c r="B7" s="20">
        <v>13</v>
      </c>
      <c r="C7" s="20">
        <v>8</v>
      </c>
      <c r="D7" s="20">
        <v>14</v>
      </c>
      <c r="E7" s="20">
        <v>35</v>
      </c>
    </row>
    <row r="8" spans="1:5" x14ac:dyDescent="0.3">
      <c r="A8" s="2">
        <v>45</v>
      </c>
      <c r="B8" s="20">
        <v>13</v>
      </c>
      <c r="C8" s="20">
        <v>11</v>
      </c>
      <c r="D8" s="20">
        <v>22</v>
      </c>
      <c r="E8" s="20">
        <v>46</v>
      </c>
    </row>
    <row r="9" spans="1:5" x14ac:dyDescent="0.3">
      <c r="A9" s="2">
        <v>60</v>
      </c>
      <c r="B9" s="20">
        <v>15</v>
      </c>
      <c r="C9" s="20">
        <v>18</v>
      </c>
      <c r="D9" s="20">
        <v>9</v>
      </c>
      <c r="E9" s="20">
        <v>42</v>
      </c>
    </row>
    <row r="10" spans="1:5" x14ac:dyDescent="0.3">
      <c r="A10" s="2" t="s">
        <v>25</v>
      </c>
      <c r="B10" s="20">
        <v>68</v>
      </c>
      <c r="C10" s="20">
        <v>57</v>
      </c>
      <c r="D10" s="20">
        <v>75</v>
      </c>
      <c r="E10" s="20">
        <v>200</v>
      </c>
    </row>
    <row r="30" spans="2:9" x14ac:dyDescent="0.3">
      <c r="B30" s="10" t="s">
        <v>47</v>
      </c>
      <c r="C30" s="8"/>
      <c r="D30" s="8"/>
      <c r="E30" s="8"/>
      <c r="F30" s="8"/>
      <c r="G30" s="8"/>
      <c r="H30" s="8"/>
      <c r="I30" s="8"/>
    </row>
    <row r="31" spans="2:9" x14ac:dyDescent="0.3">
      <c r="B31" s="8"/>
      <c r="C31" s="8"/>
      <c r="D31" s="8"/>
      <c r="E31" s="8"/>
      <c r="F31" s="8"/>
      <c r="G31" s="8"/>
      <c r="H31" s="8"/>
      <c r="I31" s="8"/>
    </row>
    <row r="32" spans="2:9" x14ac:dyDescent="0.3">
      <c r="B32" s="8"/>
      <c r="C32" s="8"/>
      <c r="D32" s="8"/>
      <c r="E32" s="8"/>
      <c r="F32" s="8"/>
      <c r="G32" s="8"/>
      <c r="H32" s="8"/>
      <c r="I32" s="8"/>
    </row>
    <row r="33" spans="2:9" x14ac:dyDescent="0.3">
      <c r="B33" s="8"/>
      <c r="C33" s="8"/>
      <c r="D33" s="8"/>
      <c r="E33" s="8"/>
      <c r="F33" s="8"/>
      <c r="G33" s="8"/>
      <c r="H33" s="8"/>
      <c r="I33" s="8"/>
    </row>
    <row r="34" spans="2:9" x14ac:dyDescent="0.3">
      <c r="B34" s="8"/>
      <c r="C34" s="8"/>
      <c r="D34" s="8"/>
      <c r="E34" s="8"/>
      <c r="F34" s="8"/>
      <c r="G34" s="8"/>
      <c r="H34" s="8"/>
      <c r="I34" s="8"/>
    </row>
    <row r="35" spans="2:9" x14ac:dyDescent="0.3">
      <c r="B35" s="8"/>
      <c r="C35" s="8"/>
      <c r="D35" s="8"/>
      <c r="E35" s="8"/>
      <c r="F35" s="8"/>
      <c r="G35" s="8"/>
      <c r="H35" s="8"/>
      <c r="I35" s="8"/>
    </row>
  </sheetData>
  <mergeCells count="2">
    <mergeCell ref="A1:E1"/>
    <mergeCell ref="B30:I3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7B5A-7100-4201-88CC-31C28F4FEEFA}">
  <dimension ref="A1:S201"/>
  <sheetViews>
    <sheetView zoomScale="72" workbookViewId="0">
      <selection activeCell="P25" sqref="P25"/>
    </sheetView>
  </sheetViews>
  <sheetFormatPr defaultRowHeight="14.4" x14ac:dyDescent="0.3"/>
  <cols>
    <col min="4" max="4" width="12.44140625" customWidth="1"/>
  </cols>
  <sheetData>
    <row r="1" spans="1:19" x14ac:dyDescent="0.3">
      <c r="A1" t="s">
        <v>21</v>
      </c>
    </row>
    <row r="2" spans="1:19" x14ac:dyDescent="0.3">
      <c r="A2">
        <v>20.3</v>
      </c>
    </row>
    <row r="3" spans="1:19" x14ac:dyDescent="0.3">
      <c r="A3">
        <v>20</v>
      </c>
      <c r="M3" s="11" t="s">
        <v>50</v>
      </c>
      <c r="N3" s="12"/>
      <c r="O3" s="12"/>
      <c r="P3" s="12"/>
      <c r="Q3" s="12"/>
      <c r="R3" s="12"/>
      <c r="S3" s="12"/>
    </row>
    <row r="4" spans="1:19" x14ac:dyDescent="0.3">
      <c r="A4">
        <v>31</v>
      </c>
      <c r="M4" s="12"/>
      <c r="N4" s="12"/>
      <c r="O4" s="12"/>
      <c r="P4" s="12"/>
      <c r="Q4" s="12"/>
      <c r="R4" s="12"/>
      <c r="S4" s="12"/>
    </row>
    <row r="5" spans="1:19" x14ac:dyDescent="0.3">
      <c r="A5">
        <v>32.5</v>
      </c>
      <c r="M5" s="12"/>
      <c r="N5" s="12"/>
      <c r="O5" s="12"/>
      <c r="P5" s="12"/>
      <c r="Q5" s="12"/>
      <c r="R5" s="12"/>
      <c r="S5" s="12"/>
    </row>
    <row r="6" spans="1:19" x14ac:dyDescent="0.3">
      <c r="A6">
        <v>21.7</v>
      </c>
      <c r="M6" s="12"/>
      <c r="N6" s="12"/>
      <c r="O6" s="12"/>
      <c r="P6" s="12"/>
      <c r="Q6" s="12"/>
      <c r="R6" s="12"/>
      <c r="S6" s="12"/>
    </row>
    <row r="7" spans="1:19" x14ac:dyDescent="0.3">
      <c r="A7">
        <v>24.6</v>
      </c>
      <c r="M7" s="12"/>
      <c r="N7" s="12"/>
      <c r="O7" s="12"/>
      <c r="P7" s="12"/>
      <c r="Q7" s="12"/>
      <c r="R7" s="12"/>
      <c r="S7" s="12"/>
    </row>
    <row r="8" spans="1:19" x14ac:dyDescent="0.3">
      <c r="A8">
        <v>29.9</v>
      </c>
      <c r="M8" s="12"/>
      <c r="N8" s="12"/>
      <c r="O8" s="12"/>
      <c r="P8" s="12"/>
      <c r="Q8" s="12"/>
      <c r="R8" s="12"/>
      <c r="S8" s="12"/>
    </row>
    <row r="9" spans="1:19" x14ac:dyDescent="0.3">
      <c r="A9">
        <v>29.3</v>
      </c>
      <c r="M9" s="12"/>
      <c r="N9" s="12"/>
      <c r="O9" s="12"/>
      <c r="P9" s="12"/>
      <c r="Q9" s="12"/>
      <c r="R9" s="12"/>
      <c r="S9" s="12"/>
    </row>
    <row r="10" spans="1:19" x14ac:dyDescent="0.3">
      <c r="A10">
        <v>25.1</v>
      </c>
      <c r="M10" s="12"/>
      <c r="N10" s="12"/>
      <c r="O10" s="12"/>
      <c r="P10" s="12"/>
      <c r="Q10" s="12"/>
      <c r="R10" s="12"/>
      <c r="S10" s="12"/>
    </row>
    <row r="11" spans="1:19" x14ac:dyDescent="0.3">
      <c r="A11">
        <v>19.5</v>
      </c>
      <c r="M11" s="12"/>
      <c r="N11" s="12"/>
      <c r="O11" s="12"/>
      <c r="P11" s="12"/>
      <c r="Q11" s="12"/>
      <c r="R11" s="12"/>
      <c r="S11" s="12"/>
    </row>
    <row r="12" spans="1:19" x14ac:dyDescent="0.3">
      <c r="A12">
        <v>24.1</v>
      </c>
    </row>
    <row r="13" spans="1:19" x14ac:dyDescent="0.3">
      <c r="A13">
        <v>23.4</v>
      </c>
    </row>
    <row r="14" spans="1:19" x14ac:dyDescent="0.3">
      <c r="A14">
        <v>20.3</v>
      </c>
    </row>
    <row r="15" spans="1:19" x14ac:dyDescent="0.3">
      <c r="A15">
        <v>31.1</v>
      </c>
    </row>
    <row r="16" spans="1:19" x14ac:dyDescent="0.3">
      <c r="A16">
        <v>23.6</v>
      </c>
    </row>
    <row r="17" spans="1:5" x14ac:dyDescent="0.3">
      <c r="A17">
        <v>22.1</v>
      </c>
    </row>
    <row r="18" spans="1:5" x14ac:dyDescent="0.3">
      <c r="A18">
        <v>27.4</v>
      </c>
      <c r="D18" s="3" t="s">
        <v>40</v>
      </c>
      <c r="E18" s="4">
        <f>E19-E20</f>
        <v>8</v>
      </c>
    </row>
    <row r="19" spans="1:5" x14ac:dyDescent="0.3">
      <c r="A19">
        <v>29.6</v>
      </c>
      <c r="D19" s="3" t="s">
        <v>37</v>
      </c>
      <c r="E19" s="4">
        <f>_xlfn.QUARTILE.EXC(A:A,3)</f>
        <v>30.95</v>
      </c>
    </row>
    <row r="20" spans="1:5" x14ac:dyDescent="0.3">
      <c r="A20">
        <v>25.5</v>
      </c>
      <c r="D20" s="3" t="s">
        <v>38</v>
      </c>
      <c r="E20" s="4">
        <f>_xlfn.QUARTILE.EXC(A:A,1)</f>
        <v>22.95</v>
      </c>
    </row>
    <row r="21" spans="1:5" x14ac:dyDescent="0.3">
      <c r="A21">
        <v>33.799999999999997</v>
      </c>
      <c r="D21" s="3" t="s">
        <v>39</v>
      </c>
      <c r="E21" s="4">
        <f>E20-1.5*E18</f>
        <v>10.95</v>
      </c>
    </row>
    <row r="22" spans="1:5" x14ac:dyDescent="0.3">
      <c r="A22">
        <v>22.9</v>
      </c>
      <c r="D22" s="3" t="s">
        <v>41</v>
      </c>
      <c r="E22" s="4">
        <f>E19+1.5*E18</f>
        <v>42.95</v>
      </c>
    </row>
    <row r="23" spans="1:5" x14ac:dyDescent="0.3">
      <c r="A23">
        <v>23.4</v>
      </c>
    </row>
    <row r="24" spans="1:5" x14ac:dyDescent="0.3">
      <c r="A24">
        <v>19.600000000000001</v>
      </c>
    </row>
    <row r="25" spans="1:5" x14ac:dyDescent="0.3">
      <c r="A25">
        <v>28.1</v>
      </c>
    </row>
    <row r="26" spans="1:5" x14ac:dyDescent="0.3">
      <c r="A26">
        <v>23.7</v>
      </c>
    </row>
    <row r="27" spans="1:5" x14ac:dyDescent="0.3">
      <c r="A27">
        <v>33.9</v>
      </c>
    </row>
    <row r="28" spans="1:5" x14ac:dyDescent="0.3">
      <c r="A28">
        <v>32</v>
      </c>
    </row>
    <row r="29" spans="1:5" x14ac:dyDescent="0.3">
      <c r="A29">
        <v>24.2</v>
      </c>
    </row>
    <row r="30" spans="1:5" x14ac:dyDescent="0.3">
      <c r="A30">
        <v>34.700000000000003</v>
      </c>
    </row>
    <row r="31" spans="1:5" x14ac:dyDescent="0.3">
      <c r="A31">
        <v>28.1</v>
      </c>
    </row>
    <row r="32" spans="1:5" x14ac:dyDescent="0.3">
      <c r="A32">
        <v>20.2</v>
      </c>
    </row>
    <row r="33" spans="1:1" x14ac:dyDescent="0.3">
      <c r="A33">
        <v>32.799999999999997</v>
      </c>
    </row>
    <row r="34" spans="1:1" x14ac:dyDescent="0.3">
      <c r="A34">
        <v>23.5</v>
      </c>
    </row>
    <row r="35" spans="1:1" x14ac:dyDescent="0.3">
      <c r="A35">
        <v>34.700000000000003</v>
      </c>
    </row>
    <row r="36" spans="1:1" x14ac:dyDescent="0.3">
      <c r="A36">
        <v>30.5</v>
      </c>
    </row>
    <row r="37" spans="1:1" x14ac:dyDescent="0.3">
      <c r="A37">
        <v>27.1</v>
      </c>
    </row>
    <row r="38" spans="1:1" x14ac:dyDescent="0.3">
      <c r="A38">
        <v>23.6</v>
      </c>
    </row>
    <row r="39" spans="1:1" x14ac:dyDescent="0.3">
      <c r="A39">
        <v>27.9</v>
      </c>
    </row>
    <row r="40" spans="1:1" x14ac:dyDescent="0.3">
      <c r="A40">
        <v>25.8</v>
      </c>
    </row>
    <row r="41" spans="1:1" x14ac:dyDescent="0.3">
      <c r="A41">
        <v>31.8</v>
      </c>
    </row>
    <row r="42" spans="1:1" x14ac:dyDescent="0.3">
      <c r="A42">
        <v>30</v>
      </c>
    </row>
    <row r="43" spans="1:1" x14ac:dyDescent="0.3">
      <c r="A43">
        <v>27.7</v>
      </c>
    </row>
    <row r="44" spans="1:1" x14ac:dyDescent="0.3">
      <c r="A44">
        <v>25.9</v>
      </c>
    </row>
    <row r="45" spans="1:1" x14ac:dyDescent="0.3">
      <c r="A45">
        <v>25.8</v>
      </c>
    </row>
    <row r="46" spans="1:1" x14ac:dyDescent="0.3">
      <c r="A46">
        <v>21</v>
      </c>
    </row>
    <row r="47" spans="1:1" x14ac:dyDescent="0.3">
      <c r="A47">
        <v>34.1</v>
      </c>
    </row>
    <row r="48" spans="1:1" x14ac:dyDescent="0.3">
      <c r="A48">
        <v>22.1</v>
      </c>
    </row>
    <row r="49" spans="1:1" x14ac:dyDescent="0.3">
      <c r="A49">
        <v>27.3</v>
      </c>
    </row>
    <row r="50" spans="1:1" x14ac:dyDescent="0.3">
      <c r="A50">
        <v>22</v>
      </c>
    </row>
    <row r="51" spans="1:1" x14ac:dyDescent="0.3">
      <c r="A51">
        <v>22.2</v>
      </c>
    </row>
    <row r="52" spans="1:1" x14ac:dyDescent="0.3">
      <c r="A52">
        <v>20.399999999999999</v>
      </c>
    </row>
    <row r="53" spans="1:1" x14ac:dyDescent="0.3">
      <c r="A53">
        <v>28</v>
      </c>
    </row>
    <row r="54" spans="1:1" x14ac:dyDescent="0.3">
      <c r="A54">
        <v>31.4</v>
      </c>
    </row>
    <row r="55" spans="1:1" x14ac:dyDescent="0.3">
      <c r="A55">
        <v>29</v>
      </c>
    </row>
    <row r="56" spans="1:1" x14ac:dyDescent="0.3">
      <c r="A56">
        <v>32.1</v>
      </c>
    </row>
    <row r="57" spans="1:1" x14ac:dyDescent="0.3">
      <c r="A57">
        <v>19</v>
      </c>
    </row>
    <row r="58" spans="1:1" x14ac:dyDescent="0.3">
      <c r="A58">
        <v>18.7</v>
      </c>
    </row>
    <row r="59" spans="1:1" x14ac:dyDescent="0.3">
      <c r="A59">
        <v>31.6</v>
      </c>
    </row>
    <row r="60" spans="1:1" x14ac:dyDescent="0.3">
      <c r="A60">
        <v>34.9</v>
      </c>
    </row>
    <row r="61" spans="1:1" x14ac:dyDescent="0.3">
      <c r="A61">
        <v>34.200000000000003</v>
      </c>
    </row>
    <row r="62" spans="1:1" x14ac:dyDescent="0.3">
      <c r="A62">
        <v>23.4</v>
      </c>
    </row>
    <row r="63" spans="1:1" x14ac:dyDescent="0.3">
      <c r="A63">
        <v>34.1</v>
      </c>
    </row>
    <row r="64" spans="1:1" x14ac:dyDescent="0.3">
      <c r="A64">
        <v>20.399999999999999</v>
      </c>
    </row>
    <row r="65" spans="1:1" x14ac:dyDescent="0.3">
      <c r="A65">
        <v>34.9</v>
      </c>
    </row>
    <row r="66" spans="1:1" x14ac:dyDescent="0.3">
      <c r="A66">
        <v>34.799999999999997</v>
      </c>
    </row>
    <row r="67" spans="1:1" x14ac:dyDescent="0.3">
      <c r="A67">
        <v>22.5</v>
      </c>
    </row>
    <row r="68" spans="1:1" x14ac:dyDescent="0.3">
      <c r="A68">
        <v>23.2</v>
      </c>
    </row>
    <row r="69" spans="1:1" x14ac:dyDescent="0.3">
      <c r="A69">
        <v>21</v>
      </c>
    </row>
    <row r="70" spans="1:1" x14ac:dyDescent="0.3">
      <c r="A70">
        <v>26.2</v>
      </c>
    </row>
    <row r="71" spans="1:1" x14ac:dyDescent="0.3">
      <c r="A71">
        <v>22.6</v>
      </c>
    </row>
    <row r="72" spans="1:1" x14ac:dyDescent="0.3">
      <c r="A72">
        <v>29.2</v>
      </c>
    </row>
    <row r="73" spans="1:1" x14ac:dyDescent="0.3">
      <c r="A73">
        <v>29.6</v>
      </c>
    </row>
    <row r="74" spans="1:1" x14ac:dyDescent="0.3">
      <c r="A74">
        <v>22.7</v>
      </c>
    </row>
    <row r="75" spans="1:1" x14ac:dyDescent="0.3">
      <c r="A75">
        <v>31</v>
      </c>
    </row>
    <row r="76" spans="1:1" x14ac:dyDescent="0.3">
      <c r="A76">
        <v>34.6</v>
      </c>
    </row>
    <row r="77" spans="1:1" x14ac:dyDescent="0.3">
      <c r="A77">
        <v>32.200000000000003</v>
      </c>
    </row>
    <row r="78" spans="1:1" x14ac:dyDescent="0.3">
      <c r="A78">
        <v>21.6</v>
      </c>
    </row>
    <row r="79" spans="1:1" x14ac:dyDescent="0.3">
      <c r="A79">
        <v>28.1</v>
      </c>
    </row>
    <row r="80" spans="1:1" x14ac:dyDescent="0.3">
      <c r="A80">
        <v>34.700000000000003</v>
      </c>
    </row>
    <row r="81" spans="1:1" x14ac:dyDescent="0.3">
      <c r="A81">
        <v>34.4</v>
      </c>
    </row>
    <row r="82" spans="1:1" x14ac:dyDescent="0.3">
      <c r="A82">
        <v>34.5</v>
      </c>
    </row>
    <row r="83" spans="1:1" x14ac:dyDescent="0.3">
      <c r="A83">
        <v>28.8</v>
      </c>
    </row>
    <row r="84" spans="1:1" x14ac:dyDescent="0.3">
      <c r="A84">
        <v>31</v>
      </c>
    </row>
    <row r="85" spans="1:1" x14ac:dyDescent="0.3">
      <c r="A85">
        <v>25.6</v>
      </c>
    </row>
    <row r="86" spans="1:1" x14ac:dyDescent="0.3">
      <c r="A86">
        <v>33.6</v>
      </c>
    </row>
    <row r="87" spans="1:1" x14ac:dyDescent="0.3">
      <c r="A87">
        <v>25.8</v>
      </c>
    </row>
    <row r="88" spans="1:1" x14ac:dyDescent="0.3">
      <c r="A88">
        <v>24.8</v>
      </c>
    </row>
    <row r="89" spans="1:1" x14ac:dyDescent="0.3">
      <c r="A89">
        <v>30.8</v>
      </c>
    </row>
    <row r="90" spans="1:1" x14ac:dyDescent="0.3">
      <c r="A90">
        <v>20.100000000000001</v>
      </c>
    </row>
    <row r="91" spans="1:1" x14ac:dyDescent="0.3">
      <c r="A91">
        <v>21.8</v>
      </c>
    </row>
    <row r="92" spans="1:1" x14ac:dyDescent="0.3">
      <c r="A92">
        <v>20.8</v>
      </c>
    </row>
    <row r="93" spans="1:1" x14ac:dyDescent="0.3">
      <c r="A93">
        <v>29.6</v>
      </c>
    </row>
    <row r="94" spans="1:1" x14ac:dyDescent="0.3">
      <c r="A94">
        <v>19.5</v>
      </c>
    </row>
    <row r="95" spans="1:1" x14ac:dyDescent="0.3">
      <c r="A95">
        <v>33.1</v>
      </c>
    </row>
    <row r="96" spans="1:1" x14ac:dyDescent="0.3">
      <c r="A96">
        <v>29.3</v>
      </c>
    </row>
    <row r="97" spans="1:1" x14ac:dyDescent="0.3">
      <c r="A97">
        <v>24.6</v>
      </c>
    </row>
    <row r="98" spans="1:1" x14ac:dyDescent="0.3">
      <c r="A98">
        <v>31.5</v>
      </c>
    </row>
    <row r="99" spans="1:1" x14ac:dyDescent="0.3">
      <c r="A99">
        <v>31.3</v>
      </c>
    </row>
    <row r="100" spans="1:1" x14ac:dyDescent="0.3">
      <c r="A100">
        <v>24.4</v>
      </c>
    </row>
    <row r="101" spans="1:1" x14ac:dyDescent="0.3">
      <c r="A101">
        <v>25.9</v>
      </c>
    </row>
    <row r="102" spans="1:1" x14ac:dyDescent="0.3">
      <c r="A102">
        <v>29.1</v>
      </c>
    </row>
    <row r="103" spans="1:1" x14ac:dyDescent="0.3">
      <c r="A103">
        <v>28.5</v>
      </c>
    </row>
    <row r="104" spans="1:1" x14ac:dyDescent="0.3">
      <c r="A104">
        <v>26.8</v>
      </c>
    </row>
    <row r="105" spans="1:1" x14ac:dyDescent="0.3">
      <c r="A105">
        <v>25.3</v>
      </c>
    </row>
    <row r="106" spans="1:1" x14ac:dyDescent="0.3">
      <c r="A106">
        <v>33.700000000000003</v>
      </c>
    </row>
    <row r="107" spans="1:1" x14ac:dyDescent="0.3">
      <c r="A107">
        <v>20.5</v>
      </c>
    </row>
    <row r="108" spans="1:1" x14ac:dyDescent="0.3">
      <c r="A108">
        <v>26.5</v>
      </c>
    </row>
    <row r="109" spans="1:1" x14ac:dyDescent="0.3">
      <c r="A109">
        <v>33.799999999999997</v>
      </c>
    </row>
    <row r="110" spans="1:1" x14ac:dyDescent="0.3">
      <c r="A110">
        <v>29.3</v>
      </c>
    </row>
    <row r="111" spans="1:1" x14ac:dyDescent="0.3">
      <c r="A111">
        <v>23.6</v>
      </c>
    </row>
    <row r="112" spans="1:1" x14ac:dyDescent="0.3">
      <c r="A112">
        <v>25.5</v>
      </c>
    </row>
    <row r="113" spans="1:1" x14ac:dyDescent="0.3">
      <c r="A113">
        <v>29.5</v>
      </c>
    </row>
    <row r="114" spans="1:1" x14ac:dyDescent="0.3">
      <c r="A114">
        <v>20.5</v>
      </c>
    </row>
    <row r="115" spans="1:1" x14ac:dyDescent="0.3">
      <c r="A115">
        <v>25.1</v>
      </c>
    </row>
    <row r="116" spans="1:1" x14ac:dyDescent="0.3">
      <c r="A116">
        <v>20.399999999999999</v>
      </c>
    </row>
    <row r="117" spans="1:1" x14ac:dyDescent="0.3">
      <c r="A117">
        <v>28.2</v>
      </c>
    </row>
    <row r="118" spans="1:1" x14ac:dyDescent="0.3">
      <c r="A118">
        <v>26.9</v>
      </c>
    </row>
    <row r="119" spans="1:1" x14ac:dyDescent="0.3">
      <c r="A119">
        <v>34.200000000000003</v>
      </c>
    </row>
    <row r="120" spans="1:1" x14ac:dyDescent="0.3">
      <c r="A120">
        <v>23.7</v>
      </c>
    </row>
    <row r="121" spans="1:1" x14ac:dyDescent="0.3">
      <c r="A121">
        <v>26.1</v>
      </c>
    </row>
    <row r="122" spans="1:1" x14ac:dyDescent="0.3">
      <c r="A122">
        <v>28.1</v>
      </c>
    </row>
    <row r="123" spans="1:1" x14ac:dyDescent="0.3">
      <c r="A123">
        <v>31.9</v>
      </c>
    </row>
    <row r="124" spans="1:1" x14ac:dyDescent="0.3">
      <c r="A124">
        <v>24.7</v>
      </c>
    </row>
    <row r="125" spans="1:1" x14ac:dyDescent="0.3">
      <c r="A125">
        <v>22.7</v>
      </c>
    </row>
    <row r="126" spans="1:1" x14ac:dyDescent="0.3">
      <c r="A126">
        <v>28.3</v>
      </c>
    </row>
    <row r="127" spans="1:1" x14ac:dyDescent="0.3">
      <c r="A127">
        <v>29.6</v>
      </c>
    </row>
    <row r="128" spans="1:1" x14ac:dyDescent="0.3">
      <c r="A128">
        <v>19.8</v>
      </c>
    </row>
    <row r="129" spans="1:1" x14ac:dyDescent="0.3">
      <c r="A129">
        <v>19.2</v>
      </c>
    </row>
    <row r="130" spans="1:1" x14ac:dyDescent="0.3">
      <c r="A130">
        <v>33.4</v>
      </c>
    </row>
    <row r="131" spans="1:1" x14ac:dyDescent="0.3">
      <c r="A131">
        <v>31.7</v>
      </c>
    </row>
    <row r="132" spans="1:1" x14ac:dyDescent="0.3">
      <c r="A132">
        <v>19.899999999999999</v>
      </c>
    </row>
    <row r="133" spans="1:1" x14ac:dyDescent="0.3">
      <c r="A133">
        <v>19.399999999999999</v>
      </c>
    </row>
    <row r="134" spans="1:1" x14ac:dyDescent="0.3">
      <c r="A134">
        <v>20.8</v>
      </c>
    </row>
    <row r="135" spans="1:1" x14ac:dyDescent="0.3">
      <c r="A135">
        <v>27.6</v>
      </c>
    </row>
    <row r="136" spans="1:1" x14ac:dyDescent="0.3">
      <c r="A136">
        <v>20.3</v>
      </c>
    </row>
    <row r="137" spans="1:1" x14ac:dyDescent="0.3">
      <c r="A137">
        <v>27.9</v>
      </c>
    </row>
    <row r="138" spans="1:1" x14ac:dyDescent="0.3">
      <c r="A138">
        <v>32.9</v>
      </c>
    </row>
    <row r="139" spans="1:1" x14ac:dyDescent="0.3">
      <c r="A139">
        <v>30.6</v>
      </c>
    </row>
    <row r="140" spans="1:1" x14ac:dyDescent="0.3">
      <c r="A140">
        <v>21.5</v>
      </c>
    </row>
    <row r="141" spans="1:1" x14ac:dyDescent="0.3">
      <c r="A141">
        <v>26.3</v>
      </c>
    </row>
    <row r="142" spans="1:1" x14ac:dyDescent="0.3">
      <c r="A142">
        <v>30.8</v>
      </c>
    </row>
    <row r="143" spans="1:1" x14ac:dyDescent="0.3">
      <c r="A143">
        <v>25.6</v>
      </c>
    </row>
    <row r="144" spans="1:1" x14ac:dyDescent="0.3">
      <c r="A144">
        <v>29.9</v>
      </c>
    </row>
    <row r="145" spans="1:1" x14ac:dyDescent="0.3">
      <c r="A145">
        <v>29</v>
      </c>
    </row>
    <row r="146" spans="1:1" x14ac:dyDescent="0.3">
      <c r="A146">
        <v>24.5</v>
      </c>
    </row>
    <row r="147" spans="1:1" x14ac:dyDescent="0.3">
      <c r="A147">
        <v>24.6</v>
      </c>
    </row>
    <row r="148" spans="1:1" x14ac:dyDescent="0.3">
      <c r="A148">
        <v>31.3</v>
      </c>
    </row>
    <row r="149" spans="1:1" x14ac:dyDescent="0.3">
      <c r="A149">
        <v>21.3</v>
      </c>
    </row>
    <row r="150" spans="1:1" x14ac:dyDescent="0.3">
      <c r="A150">
        <v>30.2</v>
      </c>
    </row>
    <row r="151" spans="1:1" x14ac:dyDescent="0.3">
      <c r="A151">
        <v>27.9</v>
      </c>
    </row>
    <row r="152" spans="1:1" x14ac:dyDescent="0.3">
      <c r="A152">
        <v>34.5</v>
      </c>
    </row>
    <row r="153" spans="1:1" x14ac:dyDescent="0.3">
      <c r="A153">
        <v>26.8</v>
      </c>
    </row>
    <row r="154" spans="1:1" x14ac:dyDescent="0.3">
      <c r="A154">
        <v>22.6</v>
      </c>
    </row>
    <row r="155" spans="1:1" x14ac:dyDescent="0.3">
      <c r="A155">
        <v>28.8</v>
      </c>
    </row>
    <row r="156" spans="1:1" x14ac:dyDescent="0.3">
      <c r="A156">
        <v>29</v>
      </c>
    </row>
    <row r="157" spans="1:1" x14ac:dyDescent="0.3">
      <c r="A157">
        <v>25.8</v>
      </c>
    </row>
    <row r="158" spans="1:1" x14ac:dyDescent="0.3">
      <c r="A158">
        <v>27</v>
      </c>
    </row>
    <row r="159" spans="1:1" x14ac:dyDescent="0.3">
      <c r="A159">
        <v>32.799999999999997</v>
      </c>
    </row>
    <row r="160" spans="1:1" x14ac:dyDescent="0.3">
      <c r="A160">
        <v>33</v>
      </c>
    </row>
    <row r="161" spans="1:1" x14ac:dyDescent="0.3">
      <c r="A161">
        <v>23.1</v>
      </c>
    </row>
    <row r="162" spans="1:1" x14ac:dyDescent="0.3">
      <c r="A162">
        <v>25.1</v>
      </c>
    </row>
    <row r="163" spans="1:1" x14ac:dyDescent="0.3">
      <c r="A163">
        <v>34.6</v>
      </c>
    </row>
    <row r="164" spans="1:1" x14ac:dyDescent="0.3">
      <c r="A164">
        <v>19.100000000000001</v>
      </c>
    </row>
    <row r="165" spans="1:1" x14ac:dyDescent="0.3">
      <c r="A165">
        <v>25</v>
      </c>
    </row>
    <row r="166" spans="1:1" x14ac:dyDescent="0.3">
      <c r="A166">
        <v>29.6</v>
      </c>
    </row>
    <row r="167" spans="1:1" x14ac:dyDescent="0.3">
      <c r="A167">
        <v>26.4</v>
      </c>
    </row>
    <row r="168" spans="1:1" x14ac:dyDescent="0.3">
      <c r="A168">
        <v>21</v>
      </c>
    </row>
    <row r="169" spans="1:1" x14ac:dyDescent="0.3">
      <c r="A169">
        <v>23.9</v>
      </c>
    </row>
    <row r="170" spans="1:1" x14ac:dyDescent="0.3">
      <c r="A170">
        <v>26.5</v>
      </c>
    </row>
    <row r="171" spans="1:1" x14ac:dyDescent="0.3">
      <c r="A171">
        <v>26.4</v>
      </c>
    </row>
    <row r="172" spans="1:1" x14ac:dyDescent="0.3">
      <c r="A172">
        <v>34.299999999999997</v>
      </c>
    </row>
    <row r="173" spans="1:1" x14ac:dyDescent="0.3">
      <c r="A173">
        <v>20.3</v>
      </c>
    </row>
    <row r="174" spans="1:1" x14ac:dyDescent="0.3">
      <c r="A174">
        <v>26.3</v>
      </c>
    </row>
    <row r="175" spans="1:1" x14ac:dyDescent="0.3">
      <c r="A175">
        <v>23.2</v>
      </c>
    </row>
    <row r="176" spans="1:1" x14ac:dyDescent="0.3">
      <c r="A176">
        <v>31.5</v>
      </c>
    </row>
    <row r="177" spans="1:1" x14ac:dyDescent="0.3">
      <c r="A177">
        <v>32.5</v>
      </c>
    </row>
    <row r="178" spans="1:1" x14ac:dyDescent="0.3">
      <c r="A178">
        <v>30.7</v>
      </c>
    </row>
    <row r="179" spans="1:1" x14ac:dyDescent="0.3">
      <c r="A179">
        <v>20.100000000000001</v>
      </c>
    </row>
    <row r="180" spans="1:1" x14ac:dyDescent="0.3">
      <c r="A180">
        <v>30.4</v>
      </c>
    </row>
    <row r="181" spans="1:1" x14ac:dyDescent="0.3">
      <c r="A181">
        <v>26.8</v>
      </c>
    </row>
    <row r="182" spans="1:1" x14ac:dyDescent="0.3">
      <c r="A182">
        <v>30.1</v>
      </c>
    </row>
    <row r="183" spans="1:1" x14ac:dyDescent="0.3">
      <c r="A183">
        <v>33.6</v>
      </c>
    </row>
    <row r="184" spans="1:1" x14ac:dyDescent="0.3">
      <c r="A184">
        <v>29.7</v>
      </c>
    </row>
    <row r="185" spans="1:1" x14ac:dyDescent="0.3">
      <c r="A185">
        <v>26.1</v>
      </c>
    </row>
    <row r="186" spans="1:1" x14ac:dyDescent="0.3">
      <c r="A186">
        <v>19.600000000000001</v>
      </c>
    </row>
    <row r="187" spans="1:1" x14ac:dyDescent="0.3">
      <c r="A187">
        <v>34.9</v>
      </c>
    </row>
    <row r="188" spans="1:1" x14ac:dyDescent="0.3">
      <c r="A188">
        <v>34.9</v>
      </c>
    </row>
    <row r="189" spans="1:1" x14ac:dyDescent="0.3">
      <c r="A189">
        <v>24.8</v>
      </c>
    </row>
    <row r="190" spans="1:1" x14ac:dyDescent="0.3">
      <c r="A190">
        <v>21.9</v>
      </c>
    </row>
    <row r="191" spans="1:1" x14ac:dyDescent="0.3">
      <c r="A191">
        <v>22.4</v>
      </c>
    </row>
    <row r="192" spans="1:1" x14ac:dyDescent="0.3">
      <c r="A192">
        <v>23.5</v>
      </c>
    </row>
    <row r="193" spans="1:1" x14ac:dyDescent="0.3">
      <c r="A193">
        <v>26.7</v>
      </c>
    </row>
    <row r="194" spans="1:1" x14ac:dyDescent="0.3">
      <c r="A194">
        <v>32.5</v>
      </c>
    </row>
    <row r="195" spans="1:1" x14ac:dyDescent="0.3">
      <c r="A195">
        <v>22.7</v>
      </c>
    </row>
    <row r="196" spans="1:1" x14ac:dyDescent="0.3">
      <c r="A196">
        <v>21.6</v>
      </c>
    </row>
    <row r="197" spans="1:1" x14ac:dyDescent="0.3">
      <c r="A197">
        <v>33.6</v>
      </c>
    </row>
    <row r="198" spans="1:1" x14ac:dyDescent="0.3">
      <c r="A198">
        <v>22.8</v>
      </c>
    </row>
    <row r="199" spans="1:1" x14ac:dyDescent="0.3">
      <c r="A199">
        <v>27.8</v>
      </c>
    </row>
    <row r="200" spans="1:1" x14ac:dyDescent="0.3">
      <c r="A200">
        <v>23.9</v>
      </c>
    </row>
    <row r="201" spans="1:1" x14ac:dyDescent="0.3">
      <c r="A201">
        <v>21.3</v>
      </c>
    </row>
  </sheetData>
  <mergeCells count="1">
    <mergeCell ref="M3:S11"/>
  </mergeCells>
  <conditionalFormatting sqref="A1:A1048576">
    <cfRule type="cellIs" dxfId="1" priority="1" operator="lessThan">
      <formula>$E$21</formula>
    </cfRule>
    <cfRule type="cellIs" dxfId="0" priority="2" operator="greaterThan">
      <formula>$E$22</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AD2F-99BB-4F86-8B7D-EB59304FBE09}">
  <dimension ref="A2:K6"/>
  <sheetViews>
    <sheetView workbookViewId="0">
      <selection activeCell="A4" sqref="A4"/>
    </sheetView>
  </sheetViews>
  <sheetFormatPr defaultRowHeight="14.4" x14ac:dyDescent="0.3"/>
  <cols>
    <col min="1" max="1" width="20.109375" bestFit="1" customWidth="1"/>
    <col min="2" max="2" width="13.44140625" bestFit="1" customWidth="1"/>
  </cols>
  <sheetData>
    <row r="2" spans="1:11" x14ac:dyDescent="0.3">
      <c r="G2" s="13" t="s">
        <v>49</v>
      </c>
      <c r="H2" s="8"/>
      <c r="I2" s="8"/>
      <c r="J2" s="8"/>
      <c r="K2" s="8"/>
    </row>
    <row r="3" spans="1:11" x14ac:dyDescent="0.3">
      <c r="A3" s="1" t="s">
        <v>36</v>
      </c>
      <c r="B3" t="s">
        <v>27</v>
      </c>
      <c r="G3" s="8"/>
      <c r="H3" s="8"/>
      <c r="I3" s="8"/>
      <c r="J3" s="8"/>
      <c r="K3" s="8"/>
    </row>
    <row r="4" spans="1:11" x14ac:dyDescent="0.3">
      <c r="A4" s="2" t="s">
        <v>8</v>
      </c>
      <c r="B4" s="20">
        <v>9959</v>
      </c>
      <c r="G4" s="8"/>
      <c r="H4" s="8"/>
      <c r="I4" s="8"/>
      <c r="J4" s="8"/>
      <c r="K4" s="8"/>
    </row>
    <row r="5" spans="1:11" x14ac:dyDescent="0.3">
      <c r="A5" s="2" t="s">
        <v>4</v>
      </c>
      <c r="B5" s="20">
        <v>10141</v>
      </c>
      <c r="G5" s="8"/>
      <c r="H5" s="8"/>
      <c r="I5" s="8"/>
      <c r="J5" s="8"/>
      <c r="K5" s="8"/>
    </row>
    <row r="6" spans="1:11" x14ac:dyDescent="0.3">
      <c r="A6" s="2" t="s">
        <v>25</v>
      </c>
      <c r="B6" s="20">
        <v>20100</v>
      </c>
      <c r="G6" s="8"/>
      <c r="H6" s="8"/>
      <c r="I6" s="8"/>
      <c r="J6" s="8"/>
      <c r="K6" s="8"/>
    </row>
  </sheetData>
  <mergeCells count="1">
    <mergeCell ref="G2:K6"/>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8400-9719-4387-A0D0-17C284DCFB2F}">
  <dimension ref="A1:K22"/>
  <sheetViews>
    <sheetView workbookViewId="0">
      <selection activeCell="M21" sqref="M21"/>
    </sheetView>
  </sheetViews>
  <sheetFormatPr defaultRowHeight="14.4" x14ac:dyDescent="0.3"/>
  <cols>
    <col min="1" max="1" width="25" customWidth="1"/>
  </cols>
  <sheetData>
    <row r="1" spans="1:11" x14ac:dyDescent="0.3">
      <c r="A1" t="s">
        <v>42</v>
      </c>
      <c r="B1">
        <f>AVERAGE(PCOD_Health_Lifestyle!J:J)</f>
        <v>7.03</v>
      </c>
    </row>
    <row r="2" spans="1:11" x14ac:dyDescent="0.3">
      <c r="A2" t="s">
        <v>43</v>
      </c>
      <c r="B2">
        <f>MEDIAN(PCOD_Health_Lifestyle!J:J)</f>
        <v>7</v>
      </c>
    </row>
    <row r="3" spans="1:11" x14ac:dyDescent="0.3">
      <c r="A3" t="s">
        <v>44</v>
      </c>
      <c r="B3">
        <f>MODE(PCOD_Health_Lifestyle!J:J)</f>
        <v>5</v>
      </c>
    </row>
    <row r="4" spans="1:11" x14ac:dyDescent="0.3">
      <c r="A4" t="s">
        <v>45</v>
      </c>
      <c r="B4">
        <f>_xlfn.VAR.P(PCOD_Health_Lifestyle!J:J)</f>
        <v>2.2090999999999998</v>
      </c>
    </row>
    <row r="5" spans="1:11" x14ac:dyDescent="0.3">
      <c r="A5" t="s">
        <v>46</v>
      </c>
      <c r="B5">
        <f>SQRT(B4)</f>
        <v>1.4863041411501214</v>
      </c>
    </row>
    <row r="6" spans="1:11" x14ac:dyDescent="0.3">
      <c r="C6" s="5"/>
      <c r="D6" s="5"/>
      <c r="E6" s="5"/>
      <c r="F6" s="5"/>
      <c r="G6" s="5"/>
      <c r="H6" s="5"/>
      <c r="I6" s="5"/>
      <c r="J6" s="5"/>
      <c r="K6" s="5"/>
    </row>
    <row r="7" spans="1:11" x14ac:dyDescent="0.3">
      <c r="C7" s="5"/>
      <c r="D7" s="5"/>
      <c r="E7" s="5"/>
      <c r="F7" s="5"/>
      <c r="G7" s="5"/>
      <c r="H7" s="5"/>
      <c r="I7" s="5"/>
      <c r="J7" s="5"/>
      <c r="K7" s="5"/>
    </row>
    <row r="8" spans="1:11" x14ac:dyDescent="0.3">
      <c r="C8" s="5"/>
      <c r="D8" s="5"/>
      <c r="E8" s="5"/>
      <c r="F8" s="5"/>
      <c r="G8" s="5"/>
      <c r="H8" s="5"/>
      <c r="I8" s="5"/>
      <c r="J8" s="5"/>
      <c r="K8" s="5"/>
    </row>
    <row r="9" spans="1:11" x14ac:dyDescent="0.3">
      <c r="C9" s="5"/>
      <c r="D9" s="5"/>
      <c r="E9" s="5"/>
      <c r="F9" s="5"/>
      <c r="G9" s="5"/>
      <c r="H9" s="5"/>
      <c r="I9" s="5"/>
      <c r="J9" s="5"/>
      <c r="K9" s="5"/>
    </row>
    <row r="10" spans="1:11" x14ac:dyDescent="0.3">
      <c r="C10" s="5"/>
      <c r="D10" s="5"/>
      <c r="E10" s="5"/>
      <c r="F10" s="5"/>
      <c r="G10" s="5"/>
      <c r="H10" s="5"/>
      <c r="I10" s="5"/>
      <c r="J10" s="5"/>
      <c r="K10" s="5"/>
    </row>
    <row r="11" spans="1:11" x14ac:dyDescent="0.3">
      <c r="C11" s="5"/>
      <c r="D11" s="5"/>
      <c r="E11" s="5"/>
      <c r="F11" s="5"/>
      <c r="G11" s="5"/>
      <c r="H11" s="5"/>
      <c r="I11" s="5"/>
      <c r="J11" s="5"/>
      <c r="K11" s="5"/>
    </row>
    <row r="12" spans="1:11" x14ac:dyDescent="0.3">
      <c r="C12" s="5"/>
      <c r="D12" s="5"/>
      <c r="E12" s="5"/>
      <c r="F12" s="5"/>
      <c r="G12" s="5"/>
      <c r="H12" s="5"/>
      <c r="I12" s="5"/>
      <c r="J12" s="5"/>
      <c r="K12" s="5"/>
    </row>
    <row r="13" spans="1:11" x14ac:dyDescent="0.3">
      <c r="C13" s="5"/>
      <c r="D13" s="5"/>
      <c r="E13" s="5"/>
      <c r="F13" s="5"/>
      <c r="G13" s="5"/>
      <c r="H13" s="5"/>
      <c r="I13" s="5"/>
      <c r="J13" s="5"/>
      <c r="K13" s="5"/>
    </row>
    <row r="14" spans="1:11" x14ac:dyDescent="0.3">
      <c r="C14" s="5"/>
      <c r="D14" s="5"/>
      <c r="E14" s="5"/>
      <c r="F14" s="5"/>
      <c r="G14" s="5"/>
      <c r="H14" s="5"/>
      <c r="I14" s="5"/>
      <c r="J14" s="5"/>
      <c r="K14" s="5"/>
    </row>
    <row r="15" spans="1:11" x14ac:dyDescent="0.3">
      <c r="C15" s="5"/>
      <c r="D15" s="5"/>
      <c r="E15" s="5"/>
      <c r="F15" s="5"/>
      <c r="G15" s="5"/>
      <c r="H15" s="5"/>
      <c r="I15" s="5"/>
      <c r="J15" s="5"/>
      <c r="K15" s="5"/>
    </row>
    <row r="16" spans="1:11" x14ac:dyDescent="0.3">
      <c r="C16" s="5"/>
      <c r="D16" s="5"/>
      <c r="E16" s="5"/>
      <c r="F16" s="5"/>
      <c r="G16" s="5"/>
      <c r="H16" s="5"/>
      <c r="I16" s="5"/>
      <c r="J16" s="5"/>
      <c r="K16" s="5"/>
    </row>
    <row r="17" spans="3:11" x14ac:dyDescent="0.3">
      <c r="C17" s="5"/>
      <c r="D17" s="5"/>
      <c r="E17" s="5"/>
      <c r="F17" s="5"/>
      <c r="G17" s="5"/>
      <c r="H17" s="5"/>
      <c r="I17" s="5"/>
      <c r="J17" s="5"/>
      <c r="K17" s="5"/>
    </row>
    <row r="18" spans="3:11" x14ac:dyDescent="0.3">
      <c r="C18" s="5"/>
      <c r="D18" s="5"/>
      <c r="E18" s="5"/>
      <c r="F18" s="5"/>
      <c r="G18" s="5"/>
      <c r="H18" s="5"/>
      <c r="I18" s="5"/>
      <c r="J18" s="5"/>
      <c r="K18" s="5"/>
    </row>
    <row r="19" spans="3:11" x14ac:dyDescent="0.3">
      <c r="C19" s="5"/>
      <c r="D19" s="5"/>
      <c r="E19" s="5"/>
      <c r="F19" s="5"/>
      <c r="G19" s="5"/>
      <c r="H19" s="5"/>
      <c r="I19" s="5"/>
      <c r="J19" s="5"/>
      <c r="K19" s="5"/>
    </row>
    <row r="20" spans="3:11" x14ac:dyDescent="0.3">
      <c r="C20" s="5"/>
      <c r="D20" s="5"/>
      <c r="E20" s="5"/>
      <c r="F20" s="5"/>
      <c r="G20" s="5"/>
      <c r="H20" s="5"/>
      <c r="I20" s="5"/>
      <c r="J20" s="5"/>
      <c r="K20" s="5"/>
    </row>
    <row r="21" spans="3:11" x14ac:dyDescent="0.3">
      <c r="C21" s="5"/>
      <c r="D21" s="5"/>
      <c r="E21" s="5"/>
      <c r="F21" s="5"/>
      <c r="G21" s="5"/>
      <c r="H21" s="5"/>
      <c r="I21" s="5"/>
      <c r="J21" s="5"/>
      <c r="K21" s="5"/>
    </row>
    <row r="22" spans="3:11" x14ac:dyDescent="0.3">
      <c r="C22" s="5"/>
      <c r="D22" s="5"/>
      <c r="E22" s="5"/>
      <c r="F22" s="5"/>
      <c r="G22" s="5"/>
      <c r="H22" s="5"/>
      <c r="I22" s="5"/>
      <c r="J22" s="5"/>
      <c r="K22"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2847-10D3-4663-9EBE-486BA630941B}">
  <dimension ref="A3:B6"/>
  <sheetViews>
    <sheetView workbookViewId="0">
      <selection activeCell="M17" sqref="M17"/>
    </sheetView>
  </sheetViews>
  <sheetFormatPr defaultRowHeight="14.4" x14ac:dyDescent="0.3"/>
  <cols>
    <col min="1" max="1" width="12.44140625" bestFit="1" customWidth="1"/>
    <col min="2" max="2" width="14.5546875" bestFit="1" customWidth="1"/>
  </cols>
  <sheetData>
    <row r="3" spans="1:2" x14ac:dyDescent="0.3">
      <c r="A3" s="1" t="s">
        <v>24</v>
      </c>
      <c r="B3" t="s">
        <v>28</v>
      </c>
    </row>
    <row r="4" spans="1:2" x14ac:dyDescent="0.3">
      <c r="A4" s="2" t="s">
        <v>5</v>
      </c>
      <c r="B4" s="20">
        <v>104</v>
      </c>
    </row>
    <row r="5" spans="1:2" x14ac:dyDescent="0.3">
      <c r="A5" s="2" t="s">
        <v>0</v>
      </c>
      <c r="B5" s="20">
        <v>96</v>
      </c>
    </row>
    <row r="6" spans="1:2" x14ac:dyDescent="0.3">
      <c r="A6" s="2" t="s">
        <v>25</v>
      </c>
      <c r="B6" s="20">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491F-8EBF-4161-A858-6FAEE6367E09}">
  <dimension ref="A3:B6"/>
  <sheetViews>
    <sheetView zoomScale="76" workbookViewId="0">
      <selection activeCell="H33" sqref="H33"/>
    </sheetView>
  </sheetViews>
  <sheetFormatPr defaultRowHeight="14.4" x14ac:dyDescent="0.3"/>
  <cols>
    <col min="1" max="1" width="13.44140625" bestFit="1" customWidth="1"/>
    <col min="2" max="2" width="14.109375" bestFit="1" customWidth="1"/>
  </cols>
  <sheetData>
    <row r="3" spans="1:2" x14ac:dyDescent="0.3">
      <c r="A3" s="1" t="s">
        <v>33</v>
      </c>
      <c r="B3" t="s">
        <v>27</v>
      </c>
    </row>
    <row r="4" spans="1:2" x14ac:dyDescent="0.3">
      <c r="A4" s="2" t="s">
        <v>5</v>
      </c>
      <c r="B4" s="20">
        <v>10857</v>
      </c>
    </row>
    <row r="5" spans="1:2" x14ac:dyDescent="0.3">
      <c r="A5" s="2" t="s">
        <v>0</v>
      </c>
      <c r="B5" s="20">
        <v>9243</v>
      </c>
    </row>
    <row r="6" spans="1:2" x14ac:dyDescent="0.3">
      <c r="A6" s="2" t="s">
        <v>25</v>
      </c>
      <c r="B6" s="20">
        <v>20100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PCOD_Health_Lifestyle</vt:lpstr>
      <vt:lpstr>Sheet1</vt:lpstr>
      <vt:lpstr>objective 1</vt:lpstr>
      <vt:lpstr>objective2</vt:lpstr>
      <vt:lpstr>objective3</vt:lpstr>
      <vt:lpstr>objective 4</vt:lpstr>
      <vt:lpstr>objective 5</vt:lpstr>
      <vt:lpstr>objective 6</vt:lpstr>
      <vt:lpstr>slicer</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Pearl Sethi</dc:creator>
  <cp:lastModifiedBy>Pearl Sethi</cp:lastModifiedBy>
  <dcterms:created xsi:type="dcterms:W3CDTF">2025-12-29T09:31:27Z</dcterms:created>
  <dcterms:modified xsi:type="dcterms:W3CDTF">2026-01-03T10:38:05Z</dcterms:modified>
</cp:coreProperties>
</file>