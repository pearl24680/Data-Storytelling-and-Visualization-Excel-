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7.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drawings/drawing9.xml" ContentType="application/vnd.openxmlformats-officedocument.drawing+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Pearl Sethi\Downloads\"/>
    </mc:Choice>
  </mc:AlternateContent>
  <xr:revisionPtr revIDLastSave="0" documentId="13_ncr:1_{0E2CA416-C1D8-4BB4-9F13-7FAFA21CAD97}" xr6:coauthVersionLast="47" xr6:coauthVersionMax="47" xr10:uidLastSave="{00000000-0000-0000-0000-000000000000}"/>
  <bookViews>
    <workbookView xWindow="-108" yWindow="-108" windowWidth="23256" windowHeight="12456" firstSheet="1" activeTab="1" xr2:uid="{1BFD6850-0780-41F0-94ED-456A2393D67A}"/>
  </bookViews>
  <sheets>
    <sheet name="PCOD_Health_Lifestyle" sheetId="2" r:id="rId1"/>
    <sheet name="dashboard 1" sheetId="11" r:id="rId2"/>
    <sheet name="objective 1" sheetId="7" r:id="rId3"/>
    <sheet name="objective2" sheetId="6" r:id="rId4"/>
    <sheet name="objective3" sheetId="5" r:id="rId5"/>
    <sheet name="objective 4" sheetId="9" r:id="rId6"/>
    <sheet name="objective 5" sheetId="8" r:id="rId7"/>
    <sheet name="objective 6" sheetId="10" r:id="rId8"/>
    <sheet name="slicer" sheetId="14" r:id="rId9"/>
    <sheet name="status" sheetId="12" r:id="rId10"/>
  </sheets>
  <definedNames>
    <definedName name="_xlnm._FilterDatabase" localSheetId="0" hidden="1">PCOD_Health_Lifestyle!$A$1:$N$201</definedName>
    <definedName name="_xlchart.v1.0" hidden="1">'objective 4'!$A$1</definedName>
    <definedName name="_xlchart.v1.1" hidden="1">'objective 4'!$A$2:$A$201</definedName>
    <definedName name="_xlchart.v1.2" hidden="1">'objective 4'!$A$1</definedName>
    <definedName name="_xlchart.v1.3" hidden="1">'objective 4'!$A$2:$A$201</definedName>
    <definedName name="Slicer_PCOD_Status">#N/A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6" i="11" l="1"/>
  <c r="W6" i="11"/>
  <c r="B5" i="10"/>
  <c r="B4" i="10"/>
  <c r="B3" i="10"/>
  <c r="B2" i="10"/>
  <c r="B1" i="10"/>
  <c r="E20" i="9"/>
  <c r="E19" i="9"/>
  <c r="E18" i="9" l="1"/>
  <c r="E22" i="9" s="1"/>
  <c r="E21" i="9" l="1"/>
</calcChain>
</file>

<file path=xl/sharedStrings.xml><?xml version="1.0" encoding="utf-8"?>
<sst xmlns="http://schemas.openxmlformats.org/spreadsheetml/2006/main" count="1695" uniqueCount="60">
  <si>
    <t>Yes</t>
  </si>
  <si>
    <t>High</t>
  </si>
  <si>
    <t>Low</t>
  </si>
  <si>
    <t>Mixed</t>
  </si>
  <si>
    <t>Regular</t>
  </si>
  <si>
    <t>No</t>
  </si>
  <si>
    <t>Medium</t>
  </si>
  <si>
    <t>Non-Veg</t>
  </si>
  <si>
    <t>Irregular</t>
  </si>
  <si>
    <t>Veg</t>
  </si>
  <si>
    <t>Hormonal_Medication</t>
  </si>
  <si>
    <t>Abdominal_Fat_Level</t>
  </si>
  <si>
    <t>Bloating_Frequency</t>
  </si>
  <si>
    <t>Stress_Level</t>
  </si>
  <si>
    <t>Sleep_Hours</t>
  </si>
  <si>
    <t>Water_Intake_Liters</t>
  </si>
  <si>
    <t>Sugar_Intake_Level</t>
  </si>
  <si>
    <t>Diet_Type</t>
  </si>
  <si>
    <t>Exercise_Min_per_Day</t>
  </si>
  <si>
    <t>Cycle_Regularity</t>
  </si>
  <si>
    <t>PCOD_Status</t>
  </si>
  <si>
    <t>BMI</t>
  </si>
  <si>
    <t>Age</t>
  </si>
  <si>
    <t>User_ID</t>
  </si>
  <si>
    <t>Row Labels</t>
  </si>
  <si>
    <t>Grand Total</t>
  </si>
  <si>
    <t>Column Labels</t>
  </si>
  <si>
    <t>Sum of User_ID</t>
  </si>
  <si>
    <t>Count of User_ID</t>
  </si>
  <si>
    <t>Exercise Minutes vs Abdominal Fat Level</t>
  </si>
  <si>
    <t>Count of Bloating_Frequency</t>
  </si>
  <si>
    <t>diet</t>
  </si>
  <si>
    <t>Average of Exercise_Min_per_Day</t>
  </si>
  <si>
    <t>pcod status</t>
  </si>
  <si>
    <t>stress level</t>
  </si>
  <si>
    <t>Women Health &amp; Lifestyle Analysis for PCOD Prediction &amp; Wellness</t>
  </si>
  <si>
    <t>CYCLE _REGULARITY</t>
  </si>
  <si>
    <t>Q3</t>
  </si>
  <si>
    <t>Q1</t>
  </si>
  <si>
    <t>LOWER FENCE</t>
  </si>
  <si>
    <t>IQR</t>
  </si>
  <si>
    <t>UPPER FENCE</t>
  </si>
  <si>
    <t>MEAN OF SLEEP HOURS</t>
  </si>
  <si>
    <t>MEDIAN OF SLEEP HOURS</t>
  </si>
  <si>
    <t>MODE OF SLEEP HOURS</t>
  </si>
  <si>
    <t>VARIANCE OF SLEEP HOURS</t>
  </si>
  <si>
    <t>STANDARD DEVIATION</t>
  </si>
  <si>
    <t>Objective 3 Tasks 
Exercise vs Abdominal Fat</t>
  </si>
  <si>
    <t>Objective 2 Tasks 
•	Diet Type vs Bloating Frequency
•	Sugar Intake vs Bloating</t>
  </si>
  <si>
    <t xml:space="preserve">   Objective : Check regularity</t>
  </si>
  <si>
    <t>Average sleep hrs :7</t>
  </si>
  <si>
    <t>7 hrs</t>
  </si>
  <si>
    <t xml:space="preserve">       PCOD Cases (%)
</t>
  </si>
  <si>
    <t>avg stress level</t>
  </si>
  <si>
    <t xml:space="preserve"> avg bmi</t>
  </si>
  <si>
    <t>Objective 5  : Design a comprehensive dashboard</t>
  </si>
  <si>
    <t xml:space="preserve"> objective 4 Bmi outliers</t>
  </si>
  <si>
    <t xml:space="preserve">Total users : </t>
  </si>
  <si>
    <t>Objective 1 Tasks 
•	PCOD vs Exercise Minutes
•	PCOD vs Stress Level</t>
  </si>
  <si>
    <t>Analyze lifestyle impact on PCOD
Study relationship between diet and bloating
Identify factors contributing to abdominal fat
Analyze sleep hours and cycle regularity
Detect BMI outliers and health risk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</si>
</sst>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1"/>
      <name val="Aptos Narrow"/>
      <family val="2"/>
      <scheme val="minor"/>
    </font>
    <font>
      <b/>
      <sz val="20"/>
      <color theme="1"/>
      <name val="Aptos Narrow"/>
      <family val="2"/>
      <scheme val="minor"/>
    </font>
    <font>
      <b/>
      <sz val="24"/>
      <color theme="0"/>
      <name val="Aptos Narrow"/>
      <family val="2"/>
      <scheme val="minor"/>
    </font>
    <font>
      <b/>
      <sz val="18"/>
      <color theme="1"/>
      <name val="Aptos Narrow"/>
      <family val="2"/>
      <scheme val="minor"/>
    </font>
    <font>
      <b/>
      <sz val="16"/>
      <color theme="1"/>
      <name val="Aptos Narrow"/>
      <family val="2"/>
      <scheme val="minor"/>
    </font>
    <font>
      <b/>
      <sz val="22"/>
      <color theme="1"/>
      <name val="Aptos Narrow"/>
      <family val="2"/>
      <scheme val="minor"/>
    </font>
    <font>
      <sz val="22"/>
      <color theme="1"/>
      <name val="Aptos Narrow"/>
      <family val="2"/>
      <scheme val="minor"/>
    </font>
    <font>
      <sz val="12"/>
      <color theme="1"/>
      <name val="Aptos Narrow"/>
      <family val="2"/>
      <scheme val="minor"/>
    </font>
    <font>
      <sz val="18"/>
      <color theme="1"/>
      <name val="Aptos Narrow"/>
      <family val="2"/>
      <scheme val="minor"/>
    </font>
    <font>
      <b/>
      <sz val="28"/>
      <color theme="0" tint="-4.9989318521683403E-2"/>
      <name val="Aptos Narrow"/>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8" tint="-0.249977111117893"/>
        <bgColor indexed="64"/>
      </patternFill>
    </fill>
    <fill>
      <patternFill patternType="solid">
        <fgColor theme="3" tint="0.499984740745262"/>
        <bgColor indexed="64"/>
      </patternFill>
    </fill>
    <fill>
      <patternFill patternType="solid">
        <fgColor theme="2"/>
        <bgColor indexed="64"/>
      </patternFill>
    </fill>
    <fill>
      <patternFill patternType="solid">
        <fgColor theme="4"/>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3" tint="0.249977111117893"/>
        <bgColor indexed="64"/>
      </patternFill>
    </fill>
    <fill>
      <patternFill patternType="solid">
        <fgColor theme="5" tint="-0.499984740745262"/>
        <bgColor indexed="64"/>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0" xfId="0" pivotButton="1"/>
    <xf numFmtId="0" fontId="0" fillId="0" borderId="0" xfId="0" applyAlignment="1">
      <alignment horizontal="left"/>
    </xf>
    <xf numFmtId="0" fontId="0" fillId="34" borderId="0" xfId="0" applyFill="1"/>
    <xf numFmtId="0" fontId="0" fillId="36" borderId="0" xfId="0" applyFill="1"/>
    <xf numFmtId="0" fontId="0" fillId="37" borderId="0" xfId="0" applyFill="1"/>
    <xf numFmtId="0" fontId="0" fillId="38" borderId="0" xfId="0" applyFill="1"/>
    <xf numFmtId="0" fontId="0" fillId="39" borderId="0" xfId="0" applyFill="1"/>
    <xf numFmtId="0" fontId="0" fillId="41" borderId="0" xfId="0" applyFill="1"/>
    <xf numFmtId="0" fontId="0" fillId="42" borderId="0" xfId="0" applyFill="1"/>
    <xf numFmtId="0" fontId="0" fillId="43" borderId="0" xfId="0" applyFill="1"/>
    <xf numFmtId="0" fontId="0" fillId="35" borderId="0" xfId="0" applyFill="1"/>
    <xf numFmtId="0" fontId="25" fillId="35" borderId="0" xfId="0" applyFont="1" applyFill="1"/>
    <xf numFmtId="9" fontId="22" fillId="41" borderId="0" xfId="0" applyNumberFormat="1" applyFont="1" applyFill="1"/>
    <xf numFmtId="0" fontId="22" fillId="36" borderId="0" xfId="0" applyFont="1" applyFill="1"/>
    <xf numFmtId="0" fontId="22" fillId="43" borderId="0" xfId="0" applyFont="1" applyFill="1"/>
    <xf numFmtId="0" fontId="0" fillId="46" borderId="0" xfId="0" applyFill="1"/>
    <xf numFmtId="0" fontId="22" fillId="43" borderId="0" xfId="0" applyFont="1" applyFill="1" applyAlignment="1">
      <alignment horizontal="center" vertical="top"/>
    </xf>
    <xf numFmtId="0" fontId="18" fillId="43" borderId="0" xfId="0" applyFont="1" applyFill="1" applyAlignment="1">
      <alignment horizontal="center" vertical="top"/>
    </xf>
    <xf numFmtId="0" fontId="0" fillId="44" borderId="0" xfId="0" applyFill="1" applyAlignment="1">
      <alignment horizontal="center"/>
    </xf>
    <xf numFmtId="0" fontId="22" fillId="44" borderId="0" xfId="0" applyFont="1" applyFill="1" applyAlignment="1">
      <alignment horizontal="center" vertical="top"/>
    </xf>
    <xf numFmtId="0" fontId="18" fillId="44" borderId="0" xfId="0" applyFont="1" applyFill="1" applyAlignment="1">
      <alignment horizontal="center" vertical="top"/>
    </xf>
    <xf numFmtId="0" fontId="20" fillId="45" borderId="0" xfId="0" applyFont="1" applyFill="1" applyAlignment="1">
      <alignment horizontal="center"/>
    </xf>
    <xf numFmtId="0" fontId="17" fillId="45" borderId="0" xfId="0" applyFont="1" applyFill="1" applyAlignment="1">
      <alignment horizontal="center"/>
    </xf>
    <xf numFmtId="0" fontId="23" fillId="42" borderId="0" xfId="0" applyFont="1" applyFill="1" applyAlignment="1">
      <alignment horizontal="center"/>
    </xf>
    <xf numFmtId="0" fontId="24" fillId="42" borderId="0" xfId="0" applyFont="1" applyFill="1" applyAlignment="1">
      <alignment horizontal="center"/>
    </xf>
    <xf numFmtId="0" fontId="22" fillId="40" borderId="0" xfId="0" applyFont="1" applyFill="1" applyAlignment="1">
      <alignment horizontal="center" vertical="top"/>
    </xf>
    <xf numFmtId="0" fontId="18" fillId="40" borderId="0" xfId="0" applyFont="1" applyFill="1" applyAlignment="1">
      <alignment horizontal="center" vertical="top"/>
    </xf>
    <xf numFmtId="0" fontId="22" fillId="36" borderId="0" xfId="0" applyFont="1" applyFill="1" applyAlignment="1">
      <alignment horizontal="center" vertical="top"/>
    </xf>
    <xf numFmtId="0" fontId="18" fillId="36" borderId="0" xfId="0" applyFont="1" applyFill="1" applyAlignment="1">
      <alignment horizontal="center" vertical="top"/>
    </xf>
    <xf numFmtId="0" fontId="22" fillId="41" borderId="0" xfId="0" applyFont="1" applyFill="1" applyAlignment="1">
      <alignment horizontal="center" vertical="top" wrapText="1"/>
    </xf>
    <xf numFmtId="0" fontId="22" fillId="41" borderId="0" xfId="0" applyFont="1" applyFill="1" applyAlignment="1">
      <alignment horizontal="center" vertical="top"/>
    </xf>
    <xf numFmtId="0" fontId="22" fillId="44" borderId="0" xfId="0" applyFont="1" applyFill="1" applyAlignment="1">
      <alignment vertical="top"/>
    </xf>
    <xf numFmtId="0" fontId="0" fillId="0" borderId="0" xfId="0" applyAlignment="1">
      <alignment horizontal="center"/>
    </xf>
    <xf numFmtId="0" fontId="22" fillId="37" borderId="0" xfId="0" applyFont="1" applyFill="1" applyAlignment="1">
      <alignment horizontal="center" wrapText="1"/>
    </xf>
    <xf numFmtId="0" fontId="0" fillId="37" borderId="0" xfId="0" applyFill="1" applyAlignment="1">
      <alignment horizontal="center"/>
    </xf>
    <xf numFmtId="0" fontId="0" fillId="33" borderId="0" xfId="0" applyFill="1" applyAlignment="1">
      <alignment horizontal="center"/>
    </xf>
    <xf numFmtId="0" fontId="21" fillId="37" borderId="0" xfId="0" applyFont="1" applyFill="1" applyAlignment="1">
      <alignment horizontal="center" wrapText="1"/>
    </xf>
    <xf numFmtId="0" fontId="19" fillId="38" borderId="0" xfId="0" applyFont="1" applyFill="1" applyAlignment="1">
      <alignment horizontal="center"/>
    </xf>
    <xf numFmtId="0" fontId="0" fillId="38" borderId="0" xfId="0" applyFill="1" applyAlignment="1">
      <alignment horizontal="center"/>
    </xf>
    <xf numFmtId="0" fontId="22" fillId="37" borderId="0" xfId="0" applyFont="1" applyFill="1" applyAlignment="1">
      <alignment horizontal="center"/>
    </xf>
    <xf numFmtId="0" fontId="26" fillId="35" borderId="0" xfId="0" applyFont="1" applyFill="1"/>
    <xf numFmtId="0" fontId="27" fillId="45" borderId="0" xfId="0" applyFont="1" applyFill="1" applyAlignment="1">
      <alignment horizontal="center"/>
    </xf>
    <xf numFmtId="0" fontId="27" fillId="45" borderId="0" xfId="0" applyFont="1" applyFill="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1!PivotTable10</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stress level vs pcod status</a:t>
            </a:r>
          </a:p>
        </c:rich>
      </c:tx>
      <c:overlay val="0"/>
      <c:spPr>
        <a:solidFill>
          <a:schemeClr val="accent2"/>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'objective 1'!$H$3:$H$4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1'!$G$5:$G$8</c:f>
              <c:strCache>
                <c:ptCount val="3"/>
                <c:pt idx="0">
                  <c:v>High</c:v>
                </c:pt>
                <c:pt idx="1">
                  <c:v>Low</c:v>
                </c:pt>
                <c:pt idx="2">
                  <c:v>Medium</c:v>
                </c:pt>
              </c:strCache>
            </c:strRef>
          </c:cat>
          <c:val>
            <c:numRef>
              <c:f>'objective 1'!$H$5:$H$8</c:f>
              <c:numCache>
                <c:formatCode>General</c:formatCode>
                <c:ptCount val="3"/>
                <c:pt idx="0">
                  <c:v>39</c:v>
                </c:pt>
                <c:pt idx="1">
                  <c:v>32</c:v>
                </c:pt>
                <c:pt idx="2">
                  <c:v>33</c:v>
                </c:pt>
              </c:numCache>
            </c:numRef>
          </c:val>
          <c:extLst>
            <c:ext xmlns:c16="http://schemas.microsoft.com/office/drawing/2014/chart" uri="{C3380CC4-5D6E-409C-BE32-E72D297353CC}">
              <c16:uniqueId val="{00000000-9D3D-46F0-9385-B97EF5D9B74C}"/>
            </c:ext>
          </c:extLst>
        </c:ser>
        <c:ser>
          <c:idx val="1"/>
          <c:order val="1"/>
          <c:tx>
            <c:strRef>
              <c:f>'objective 1'!$I$3:$I$4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1'!$G$5:$G$8</c:f>
              <c:strCache>
                <c:ptCount val="3"/>
                <c:pt idx="0">
                  <c:v>High</c:v>
                </c:pt>
                <c:pt idx="1">
                  <c:v>Low</c:v>
                </c:pt>
                <c:pt idx="2">
                  <c:v>Medium</c:v>
                </c:pt>
              </c:strCache>
            </c:strRef>
          </c:cat>
          <c:val>
            <c:numRef>
              <c:f>'objective 1'!$I$5:$I$8</c:f>
              <c:numCache>
                <c:formatCode>General</c:formatCode>
                <c:ptCount val="3"/>
                <c:pt idx="0">
                  <c:v>26</c:v>
                </c:pt>
                <c:pt idx="1">
                  <c:v>36</c:v>
                </c:pt>
                <c:pt idx="2">
                  <c:v>34</c:v>
                </c:pt>
              </c:numCache>
            </c:numRef>
          </c:val>
          <c:extLst>
            <c:ext xmlns:c16="http://schemas.microsoft.com/office/drawing/2014/chart" uri="{C3380CC4-5D6E-409C-BE32-E72D297353CC}">
              <c16:uniqueId val="{00000001-FCA2-4740-9E41-4139A194502F}"/>
            </c:ext>
          </c:extLst>
        </c:ser>
        <c:dLbls>
          <c:showLegendKey val="0"/>
          <c:showVal val="0"/>
          <c:showCatName val="0"/>
          <c:showSerName val="0"/>
          <c:showPercent val="0"/>
          <c:showBubbleSize val="0"/>
        </c:dLbls>
        <c:gapWidth val="100"/>
        <c:overlap val="100"/>
        <c:axId val="1806428688"/>
        <c:axId val="1806422928"/>
      </c:barChart>
      <c:catAx>
        <c:axId val="1806428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6422928"/>
        <c:crosses val="autoZero"/>
        <c:auto val="1"/>
        <c:lblAlgn val="ctr"/>
        <c:lblOffset val="100"/>
        <c:noMultiLvlLbl val="0"/>
      </c:catAx>
      <c:valAx>
        <c:axId val="180642292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642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1!PivotTable9</c:name>
    <c:fmtId val="6"/>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a:t>pcod vs average exercise min per day</a:t>
            </a:r>
          </a:p>
        </c:rich>
      </c:tx>
      <c:overlay val="0"/>
      <c:spPr>
        <a:solidFill>
          <a:schemeClr val="accent2">
            <a:lumMod val="20000"/>
            <a:lumOff val="80000"/>
          </a:schemeClr>
        </a:solid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'objective 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4F-4FCD-A2DD-951FDBC6CCC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4F-4FCD-A2DD-951FDBC6CCC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1'!$A$4:$A$6</c:f>
              <c:strCache>
                <c:ptCount val="2"/>
                <c:pt idx="0">
                  <c:v>No</c:v>
                </c:pt>
                <c:pt idx="1">
                  <c:v>Yes</c:v>
                </c:pt>
              </c:strCache>
            </c:strRef>
          </c:cat>
          <c:val>
            <c:numRef>
              <c:f>'objective 1'!$B$4:$B$6</c:f>
              <c:numCache>
                <c:formatCode>General</c:formatCode>
                <c:ptCount val="2"/>
                <c:pt idx="0">
                  <c:v>30.14423076923077</c:v>
                </c:pt>
                <c:pt idx="1">
                  <c:v>33.125</c:v>
                </c:pt>
              </c:numCache>
            </c:numRef>
          </c:val>
          <c:extLst>
            <c:ext xmlns:c16="http://schemas.microsoft.com/office/drawing/2014/chart" uri="{C3380CC4-5D6E-409C-BE32-E72D297353CC}">
              <c16:uniqueId val="{00000004-2B4F-4FCD-A2DD-951FDBC6CCC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(1).xlsx]objective2!PivotTable7</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diet vs bloating</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objective2!$B$3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E5D-4266-A66F-8069D3033D75}"/>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E5D-4266-A66F-8069D3033D75}"/>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E5D-4266-A66F-8069D3033D75}"/>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objective2!$A$4:$A$7</c:f>
              <c:strCache>
                <c:ptCount val="3"/>
                <c:pt idx="0">
                  <c:v>Mixed</c:v>
                </c:pt>
                <c:pt idx="1">
                  <c:v>Non-Veg</c:v>
                </c:pt>
                <c:pt idx="2">
                  <c:v>Veg</c:v>
                </c:pt>
              </c:strCache>
            </c:strRef>
          </c:cat>
          <c:val>
            <c:numRef>
              <c:f>objective2!$B$4:$B$7</c:f>
              <c:numCache>
                <c:formatCode>General</c:formatCode>
                <c:ptCount val="3"/>
                <c:pt idx="0">
                  <c:v>66</c:v>
                </c:pt>
                <c:pt idx="1">
                  <c:v>70</c:v>
                </c:pt>
                <c:pt idx="2">
                  <c:v>64</c:v>
                </c:pt>
              </c:numCache>
            </c:numRef>
          </c:val>
          <c:extLst>
            <c:ext xmlns:c16="http://schemas.microsoft.com/office/drawing/2014/chart" uri="{C3380CC4-5D6E-409C-BE32-E72D297353CC}">
              <c16:uniqueId val="{00000006-7E5D-4266-A66F-8069D3033D7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(1).xlsx]objective2!PivotTable8</c:name>
    <c:fmtId val="8"/>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a:solidFill>
                  <a:schemeClr val="bg1"/>
                </a:solidFill>
              </a:rPr>
              <a:t>sugar intake level vs bloating frequency</a:t>
            </a:r>
          </a:p>
        </c:rich>
      </c:tx>
      <c:layout>
        <c:manualLayout>
          <c:xMode val="edge"/>
          <c:yMode val="edge"/>
          <c:x val="0.45534182888865515"/>
          <c:y val="5.1411653338829535E-2"/>
        </c:manualLayout>
      </c:layout>
      <c:overlay val="0"/>
      <c:spPr>
        <a:solidFill>
          <a:schemeClr val="tx2">
            <a:lumMod val="90000"/>
            <a:lumOff val="1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5555555555558E-3"/>
          <c:y val="0.14249781277340332"/>
          <c:w val="0.63888888888888884"/>
          <c:h val="0.66745042286380873"/>
        </c:manualLayout>
      </c:layout>
      <c:barChart>
        <c:barDir val="col"/>
        <c:grouping val="clustered"/>
        <c:varyColors val="0"/>
        <c:ser>
          <c:idx val="0"/>
          <c:order val="0"/>
          <c:tx>
            <c:strRef>
              <c:f>objective2!$H$3:$H$4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objective2!$G$5:$G$8</c:f>
              <c:strCache>
                <c:ptCount val="3"/>
                <c:pt idx="0">
                  <c:v>High</c:v>
                </c:pt>
                <c:pt idx="1">
                  <c:v>Low</c:v>
                </c:pt>
                <c:pt idx="2">
                  <c:v>Medium</c:v>
                </c:pt>
              </c:strCache>
            </c:strRef>
          </c:cat>
          <c:val>
            <c:numRef>
              <c:f>objective2!$H$5:$H$8</c:f>
              <c:numCache>
                <c:formatCode>General</c:formatCode>
                <c:ptCount val="3"/>
                <c:pt idx="0">
                  <c:v>23</c:v>
                </c:pt>
                <c:pt idx="1">
                  <c:v>23</c:v>
                </c:pt>
                <c:pt idx="2">
                  <c:v>22</c:v>
                </c:pt>
              </c:numCache>
            </c:numRef>
          </c:val>
          <c:extLst>
            <c:ext xmlns:c16="http://schemas.microsoft.com/office/drawing/2014/chart" uri="{C3380CC4-5D6E-409C-BE32-E72D297353CC}">
              <c16:uniqueId val="{00000000-A66F-48E3-9A19-77F5A4EB3F64}"/>
            </c:ext>
          </c:extLst>
        </c:ser>
        <c:ser>
          <c:idx val="1"/>
          <c:order val="1"/>
          <c:tx>
            <c:strRef>
              <c:f>objective2!$I$3:$I$4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objective2!$G$5:$G$8</c:f>
              <c:strCache>
                <c:ptCount val="3"/>
                <c:pt idx="0">
                  <c:v>High</c:v>
                </c:pt>
                <c:pt idx="1">
                  <c:v>Low</c:v>
                </c:pt>
                <c:pt idx="2">
                  <c:v>Medium</c:v>
                </c:pt>
              </c:strCache>
            </c:strRef>
          </c:cat>
          <c:val>
            <c:numRef>
              <c:f>objective2!$I$5:$I$8</c:f>
              <c:numCache>
                <c:formatCode>General</c:formatCode>
                <c:ptCount val="3"/>
                <c:pt idx="0">
                  <c:v>22</c:v>
                </c:pt>
                <c:pt idx="1">
                  <c:v>23</c:v>
                </c:pt>
                <c:pt idx="2">
                  <c:v>24</c:v>
                </c:pt>
              </c:numCache>
            </c:numRef>
          </c:val>
          <c:extLst>
            <c:ext xmlns:c16="http://schemas.microsoft.com/office/drawing/2014/chart" uri="{C3380CC4-5D6E-409C-BE32-E72D297353CC}">
              <c16:uniqueId val="{00000001-A66F-48E3-9A19-77F5A4EB3F64}"/>
            </c:ext>
          </c:extLst>
        </c:ser>
        <c:ser>
          <c:idx val="2"/>
          <c:order val="2"/>
          <c:tx>
            <c:strRef>
              <c:f>objective2!$J$3:$J$4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objective2!$G$5:$G$8</c:f>
              <c:strCache>
                <c:ptCount val="3"/>
                <c:pt idx="0">
                  <c:v>High</c:v>
                </c:pt>
                <c:pt idx="1">
                  <c:v>Low</c:v>
                </c:pt>
                <c:pt idx="2">
                  <c:v>Medium</c:v>
                </c:pt>
              </c:strCache>
            </c:strRef>
          </c:cat>
          <c:val>
            <c:numRef>
              <c:f>objective2!$J$5:$J$8</c:f>
              <c:numCache>
                <c:formatCode>General</c:formatCode>
                <c:ptCount val="3"/>
                <c:pt idx="0">
                  <c:v>21</c:v>
                </c:pt>
                <c:pt idx="1">
                  <c:v>28</c:v>
                </c:pt>
                <c:pt idx="2">
                  <c:v>14</c:v>
                </c:pt>
              </c:numCache>
            </c:numRef>
          </c:val>
          <c:extLst>
            <c:ext xmlns:c16="http://schemas.microsoft.com/office/drawing/2014/chart" uri="{C3380CC4-5D6E-409C-BE32-E72D297353CC}">
              <c16:uniqueId val="{00000002-A66F-48E3-9A19-77F5A4EB3F64}"/>
            </c:ext>
          </c:extLst>
        </c:ser>
        <c:dLbls>
          <c:dLblPos val="outEnd"/>
          <c:showLegendKey val="0"/>
          <c:showVal val="1"/>
          <c:showCatName val="0"/>
          <c:showSerName val="0"/>
          <c:showPercent val="0"/>
          <c:showBubbleSize val="0"/>
        </c:dLbls>
        <c:gapWidth val="219"/>
        <c:overlap val="-27"/>
        <c:axId val="1562380752"/>
        <c:axId val="1562381232"/>
      </c:barChart>
      <c:catAx>
        <c:axId val="1562380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2381232"/>
        <c:crosses val="autoZero"/>
        <c:auto val="1"/>
        <c:lblAlgn val="ctr"/>
        <c:lblOffset val="100"/>
        <c:noMultiLvlLbl val="0"/>
      </c:catAx>
      <c:valAx>
        <c:axId val="1562381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6238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(1).xlsx]objective3!PivotTable6</c:name>
    <c:fmtId val="8"/>
  </c:pivotSource>
  <c:chart>
    <c:title>
      <c:tx>
        <c:rich>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r>
              <a:rPr lang="en-IN"/>
              <a:t>Exercise Minutes vs Abdominal Fat Level</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dk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objective3!$B$3:$B$4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objective3!$A$5:$A$10</c:f>
              <c:strCache>
                <c:ptCount val="5"/>
                <c:pt idx="0">
                  <c:v>0</c:v>
                </c:pt>
                <c:pt idx="1">
                  <c:v>15</c:v>
                </c:pt>
                <c:pt idx="2">
                  <c:v>30</c:v>
                </c:pt>
                <c:pt idx="3">
                  <c:v>45</c:v>
                </c:pt>
                <c:pt idx="4">
                  <c:v>60</c:v>
                </c:pt>
              </c:strCache>
            </c:strRef>
          </c:cat>
          <c:val>
            <c:numRef>
              <c:f>objective3!$B$5:$B$10</c:f>
              <c:numCache>
                <c:formatCode>General</c:formatCode>
                <c:ptCount val="5"/>
                <c:pt idx="0">
                  <c:v>7</c:v>
                </c:pt>
                <c:pt idx="1">
                  <c:v>20</c:v>
                </c:pt>
                <c:pt idx="2">
                  <c:v>13</c:v>
                </c:pt>
                <c:pt idx="3">
                  <c:v>13</c:v>
                </c:pt>
                <c:pt idx="4">
                  <c:v>15</c:v>
                </c:pt>
              </c:numCache>
            </c:numRef>
          </c:val>
          <c:extLst>
            <c:ext xmlns:c16="http://schemas.microsoft.com/office/drawing/2014/chart" uri="{C3380CC4-5D6E-409C-BE32-E72D297353CC}">
              <c16:uniqueId val="{00000000-682F-43A0-86E7-6CF24D86CC66}"/>
            </c:ext>
          </c:extLst>
        </c:ser>
        <c:ser>
          <c:idx val="1"/>
          <c:order val="1"/>
          <c:tx>
            <c:strRef>
              <c:f>objective3!$C$3:$C$4</c:f>
              <c:strCache>
                <c:ptCount val="1"/>
                <c:pt idx="0">
                  <c:v>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objective3!$A$5:$A$10</c:f>
              <c:strCache>
                <c:ptCount val="5"/>
                <c:pt idx="0">
                  <c:v>0</c:v>
                </c:pt>
                <c:pt idx="1">
                  <c:v>15</c:v>
                </c:pt>
                <c:pt idx="2">
                  <c:v>30</c:v>
                </c:pt>
                <c:pt idx="3">
                  <c:v>45</c:v>
                </c:pt>
                <c:pt idx="4">
                  <c:v>60</c:v>
                </c:pt>
              </c:strCache>
            </c:strRef>
          </c:cat>
          <c:val>
            <c:numRef>
              <c:f>objective3!$C$5:$C$10</c:f>
              <c:numCache>
                <c:formatCode>General</c:formatCode>
                <c:ptCount val="5"/>
                <c:pt idx="0">
                  <c:v>10</c:v>
                </c:pt>
                <c:pt idx="1">
                  <c:v>10</c:v>
                </c:pt>
                <c:pt idx="2">
                  <c:v>8</c:v>
                </c:pt>
                <c:pt idx="3">
                  <c:v>11</c:v>
                </c:pt>
                <c:pt idx="4">
                  <c:v>18</c:v>
                </c:pt>
              </c:numCache>
            </c:numRef>
          </c:val>
          <c:extLst>
            <c:ext xmlns:c16="http://schemas.microsoft.com/office/drawing/2014/chart" uri="{C3380CC4-5D6E-409C-BE32-E72D297353CC}">
              <c16:uniqueId val="{00000001-682F-43A0-86E7-6CF24D86CC66}"/>
            </c:ext>
          </c:extLst>
        </c:ser>
        <c:ser>
          <c:idx val="2"/>
          <c:order val="2"/>
          <c:tx>
            <c:strRef>
              <c:f>objective3!$D$3:$D$4</c:f>
              <c:strCache>
                <c:ptCount val="1"/>
                <c:pt idx="0">
                  <c:v>Medium</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objective3!$A$5:$A$10</c:f>
              <c:strCache>
                <c:ptCount val="5"/>
                <c:pt idx="0">
                  <c:v>0</c:v>
                </c:pt>
                <c:pt idx="1">
                  <c:v>15</c:v>
                </c:pt>
                <c:pt idx="2">
                  <c:v>30</c:v>
                </c:pt>
                <c:pt idx="3">
                  <c:v>45</c:v>
                </c:pt>
                <c:pt idx="4">
                  <c:v>60</c:v>
                </c:pt>
              </c:strCache>
            </c:strRef>
          </c:cat>
          <c:val>
            <c:numRef>
              <c:f>objective3!$D$5:$D$10</c:f>
              <c:numCache>
                <c:formatCode>General</c:formatCode>
                <c:ptCount val="5"/>
                <c:pt idx="0">
                  <c:v>15</c:v>
                </c:pt>
                <c:pt idx="1">
                  <c:v>15</c:v>
                </c:pt>
                <c:pt idx="2">
                  <c:v>14</c:v>
                </c:pt>
                <c:pt idx="3">
                  <c:v>22</c:v>
                </c:pt>
                <c:pt idx="4">
                  <c:v>9</c:v>
                </c:pt>
              </c:numCache>
            </c:numRef>
          </c:val>
          <c:extLst>
            <c:ext xmlns:c16="http://schemas.microsoft.com/office/drawing/2014/chart" uri="{C3380CC4-5D6E-409C-BE32-E72D297353CC}">
              <c16:uniqueId val="{00000002-682F-43A0-86E7-6CF24D86CC66}"/>
            </c:ext>
          </c:extLst>
        </c:ser>
        <c:dLbls>
          <c:showLegendKey val="0"/>
          <c:showVal val="1"/>
          <c:showCatName val="0"/>
          <c:showSerName val="0"/>
          <c:showPercent val="0"/>
          <c:showBubbleSize val="0"/>
        </c:dLbls>
        <c:gapWidth val="199"/>
        <c:overlap val="100"/>
        <c:axId val="888327952"/>
        <c:axId val="888338992"/>
      </c:barChart>
      <c:catAx>
        <c:axId val="88832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888338992"/>
        <c:crosses val="autoZero"/>
        <c:auto val="1"/>
        <c:lblAlgn val="ctr"/>
        <c:lblOffset val="100"/>
        <c:noMultiLvlLbl val="0"/>
      </c:catAx>
      <c:valAx>
        <c:axId val="8883389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832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5!PivotTable11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CYCLE REGULARITY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5394694899375301"/>
          <c:w val="0.87750608155783827"/>
          <c:h val="0.36992503197365917"/>
        </c:manualLayout>
      </c:layout>
      <c:lineChart>
        <c:grouping val="standard"/>
        <c:varyColors val="0"/>
        <c:ser>
          <c:idx val="0"/>
          <c:order val="0"/>
          <c:tx>
            <c:strRef>
              <c:f>'objective 5'!$B$3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'objective 5'!$A$4:$A$6</c:f>
              <c:strCache>
                <c:ptCount val="2"/>
                <c:pt idx="0">
                  <c:v>Irregular</c:v>
                </c:pt>
                <c:pt idx="1">
                  <c:v>Regular</c:v>
                </c:pt>
              </c:strCache>
            </c:strRef>
          </c:cat>
          <c:val>
            <c:numRef>
              <c:f>'objective 5'!$B$4:$B$6</c:f>
              <c:numCache>
                <c:formatCode>General</c:formatCode>
                <c:ptCount val="2"/>
                <c:pt idx="0">
                  <c:v>9959</c:v>
                </c:pt>
                <c:pt idx="1">
                  <c:v>10141</c:v>
                </c:pt>
              </c:numCache>
            </c:numRef>
          </c:val>
          <c:smooth val="0"/>
          <c:extLst>
            <c:ext xmlns:c16="http://schemas.microsoft.com/office/drawing/2014/chart" uri="{C3380CC4-5D6E-409C-BE32-E72D297353CC}">
              <c16:uniqueId val="{00000000-1FC7-4B71-BC33-D81172018B6A}"/>
            </c:ext>
          </c:extLst>
        </c:ser>
        <c:dLbls>
          <c:dLblPos val="ctr"/>
          <c:showLegendKey val="0"/>
          <c:showVal val="1"/>
          <c:showCatName val="0"/>
          <c:showSerName val="0"/>
          <c:showPercent val="0"/>
          <c:showBubbleSize val="0"/>
        </c:dLbls>
        <c:marker val="1"/>
        <c:smooth val="0"/>
        <c:axId val="1806415728"/>
        <c:axId val="1806430128"/>
      </c:lineChart>
      <c:catAx>
        <c:axId val="18064157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6430128"/>
        <c:crosses val="autoZero"/>
        <c:auto val="1"/>
        <c:lblAlgn val="ctr"/>
        <c:lblOffset val="100"/>
        <c:noMultiLvlLbl val="0"/>
      </c:catAx>
      <c:valAx>
        <c:axId val="18064301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0641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SLEEP HOURS </a:t>
            </a:r>
          </a:p>
        </c:rich>
      </c:tx>
      <c:layout>
        <c:manualLayout>
          <c:xMode val="edge"/>
          <c:yMode val="edge"/>
          <c:x val="0.384090113735783"/>
          <c:y val="4.166666666666666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185903335008731"/>
          <c:y val="8.0420034372332513E-2"/>
          <c:w val="0.78659586956135086"/>
          <c:h val="0.83891003004079712"/>
        </c:manualLayout>
      </c:layout>
      <c:bar3DChart>
        <c:barDir val="bar"/>
        <c:grouping val="clustered"/>
        <c:varyColors val="0"/>
        <c:ser>
          <c:idx val="0"/>
          <c:order val="0"/>
          <c:spPr>
            <a:pattFill prst="ltUpDiag">
              <a:fgClr>
                <a:schemeClr val="accent1"/>
              </a:fgClr>
              <a:bgClr>
                <a:schemeClr val="lt1"/>
              </a:bgClr>
            </a:pattFill>
            <a:ln>
              <a:noFill/>
            </a:ln>
            <a:effectLst/>
            <a:sp3d/>
          </c:spPr>
          <c:invertIfNegative val="0"/>
          <c:dLbls>
            <c:spPr>
              <a:solidFill>
                <a:schemeClr val="accent1">
                  <a:alpha val="7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'objective 6'!$A$1:$A$5</c:f>
              <c:strCache>
                <c:ptCount val="5"/>
                <c:pt idx="0">
                  <c:v>MEAN OF SLEEP HOURS</c:v>
                </c:pt>
                <c:pt idx="1">
                  <c:v>MEDIAN OF SLEEP HOURS</c:v>
                </c:pt>
                <c:pt idx="2">
                  <c:v>MODE OF SLEEP HOURS</c:v>
                </c:pt>
                <c:pt idx="3">
                  <c:v>VARIANCE OF SLEEP HOURS</c:v>
                </c:pt>
                <c:pt idx="4">
                  <c:v>STANDARD DEVIATION</c:v>
                </c:pt>
              </c:strCache>
            </c:strRef>
          </c:cat>
          <c:val>
            <c:numRef>
              <c:f>'objective 6'!$B$1:$B$5</c:f>
              <c:numCache>
                <c:formatCode>General</c:formatCode>
                <c:ptCount val="5"/>
                <c:pt idx="0">
                  <c:v>7.03</c:v>
                </c:pt>
                <c:pt idx="1">
                  <c:v>7</c:v>
                </c:pt>
                <c:pt idx="2">
                  <c:v>5</c:v>
                </c:pt>
                <c:pt idx="3">
                  <c:v>2.2090999999999998</c:v>
                </c:pt>
                <c:pt idx="4">
                  <c:v>1.4863041411501214</c:v>
                </c:pt>
              </c:numCache>
            </c:numRef>
          </c:val>
          <c:extLst>
            <c:ext xmlns:c16="http://schemas.microsoft.com/office/drawing/2014/chart" uri="{C3380CC4-5D6E-409C-BE32-E72D297353CC}">
              <c16:uniqueId val="{00000000-9EAB-4E4C-8FFC-A31B0A25A7DD}"/>
            </c:ext>
          </c:extLst>
        </c:ser>
        <c:dLbls>
          <c:showLegendKey val="0"/>
          <c:showVal val="1"/>
          <c:showCatName val="0"/>
          <c:showSerName val="0"/>
          <c:showPercent val="0"/>
          <c:showBubbleSize val="0"/>
        </c:dLbls>
        <c:gapWidth val="269"/>
        <c:shape val="box"/>
        <c:axId val="2006290848"/>
        <c:axId val="2006291328"/>
        <c:axId val="0"/>
      </c:bar3DChart>
      <c:catAx>
        <c:axId val="200629084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06291328"/>
        <c:crosses val="autoZero"/>
        <c:auto val="1"/>
        <c:lblAlgn val="ctr"/>
        <c:lblOffset val="100"/>
        <c:noMultiLvlLbl val="0"/>
      </c:catAx>
      <c:valAx>
        <c:axId val="20062913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06290848"/>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(1).xlsx]status!PivotTable1</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solidFill>
                  <a:schemeClr val="tx1"/>
                </a:solidFill>
              </a:rPr>
              <a:t>PCOD</a:t>
            </a:r>
            <a:r>
              <a:rPr lang="en-US"/>
              <a:t> </a:t>
            </a:r>
            <a:r>
              <a:rPr lang="en-US">
                <a:solidFill>
                  <a:schemeClr val="tx1"/>
                </a:solidFill>
              </a:rPr>
              <a:t>status</a:t>
            </a:r>
          </a:p>
        </c:rich>
      </c:tx>
      <c:overlay val="0"/>
      <c:spPr>
        <a:solidFill>
          <a:schemeClr val="bg1"/>
        </a:solid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2"/>
            </a:fgClr>
            <a:bgClr>
              <a:schemeClr val="lt1"/>
            </a:bgClr>
          </a:pattFill>
          <a:ln>
            <a:noFill/>
          </a:ln>
          <a:effectLst/>
        </c:spPr>
        <c:marker>
          <c:symbol val="none"/>
        </c:marker>
        <c:dLbl>
          <c:idx val="0"/>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22677091363332E-2"/>
          <c:y val="0.203768444221546"/>
          <c:w val="0.89984179730360847"/>
          <c:h val="0.65811627207937018"/>
        </c:manualLayout>
      </c:layout>
      <c:barChart>
        <c:barDir val="col"/>
        <c:grouping val="clustered"/>
        <c:varyColors val="0"/>
        <c:ser>
          <c:idx val="0"/>
          <c:order val="0"/>
          <c:tx>
            <c:strRef>
              <c:f>status!$B$3</c:f>
              <c:strCache>
                <c:ptCount val="1"/>
                <c:pt idx="0">
                  <c:v>Total</c:v>
                </c:pt>
              </c:strCache>
            </c:strRef>
          </c:tx>
          <c:spPr>
            <a:pattFill prst="ltUpDiag">
              <a:fgClr>
                <a:schemeClr val="accent2"/>
              </a:fgClr>
              <a:bgClr>
                <a:schemeClr val="lt1"/>
              </a:bgClr>
            </a:pattFill>
            <a:ln>
              <a:noFill/>
            </a:ln>
            <a:effectLst/>
          </c:spPr>
          <c:invertIfNegative val="0"/>
          <c:dLbls>
            <c:spPr>
              <a:solidFill>
                <a:srgbClr val="E9713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status!$A$4:$A$6</c:f>
              <c:strCache>
                <c:ptCount val="2"/>
                <c:pt idx="0">
                  <c:v>No</c:v>
                </c:pt>
                <c:pt idx="1">
                  <c:v>Yes</c:v>
                </c:pt>
              </c:strCache>
            </c:strRef>
          </c:cat>
          <c:val>
            <c:numRef>
              <c:f>status!$B$4:$B$6</c:f>
              <c:numCache>
                <c:formatCode>General</c:formatCode>
                <c:ptCount val="2"/>
                <c:pt idx="0">
                  <c:v>10857</c:v>
                </c:pt>
                <c:pt idx="1">
                  <c:v>9243</c:v>
                </c:pt>
              </c:numCache>
            </c:numRef>
          </c:val>
          <c:extLst>
            <c:ext xmlns:c16="http://schemas.microsoft.com/office/drawing/2014/chart" uri="{C3380CC4-5D6E-409C-BE32-E72D297353CC}">
              <c16:uniqueId val="{00000000-7396-4110-BCBA-866B7241FA5F}"/>
            </c:ext>
          </c:extLst>
        </c:ser>
        <c:dLbls>
          <c:dLblPos val="outEnd"/>
          <c:showLegendKey val="0"/>
          <c:showVal val="1"/>
          <c:showCatName val="0"/>
          <c:showSerName val="0"/>
          <c:showPercent val="0"/>
          <c:showBubbleSize val="0"/>
        </c:dLbls>
        <c:gapWidth val="269"/>
        <c:overlap val="-20"/>
        <c:axId val="427410176"/>
        <c:axId val="427414496"/>
      </c:barChart>
      <c:catAx>
        <c:axId val="42741017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2">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27414496"/>
        <c:crosses val="autoZero"/>
        <c:auto val="1"/>
        <c:lblAlgn val="ctr"/>
        <c:lblOffset val="100"/>
        <c:noMultiLvlLbl val="0"/>
      </c:catAx>
      <c:valAx>
        <c:axId val="427414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274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1!PivotTable9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pcod vs average exercise min per day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'objective 1'!$B$3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FAB-4306-A4F7-F5CD7FEA4A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FAB-4306-A4F7-F5CD7FEA4A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 1'!$A$4:$A$6</c:f>
              <c:strCache>
                <c:ptCount val="2"/>
                <c:pt idx="0">
                  <c:v>No</c:v>
                </c:pt>
                <c:pt idx="1">
                  <c:v>Yes</c:v>
                </c:pt>
              </c:strCache>
            </c:strRef>
          </c:cat>
          <c:val>
            <c:numRef>
              <c:f>'objective 1'!$B$4:$B$6</c:f>
              <c:numCache>
                <c:formatCode>General</c:formatCode>
                <c:ptCount val="2"/>
                <c:pt idx="0">
                  <c:v>30.14423076923077</c:v>
                </c:pt>
                <c:pt idx="1">
                  <c:v>33.125</c:v>
                </c:pt>
              </c:numCache>
            </c:numRef>
          </c:val>
          <c:extLst>
            <c:ext xmlns:c16="http://schemas.microsoft.com/office/drawing/2014/chart" uri="{C3380CC4-5D6E-409C-BE32-E72D297353CC}">
              <c16:uniqueId val="{00000000-261F-4C8E-9CB4-9BB9979C93B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1!PivotTable10</c:name>
    <c:fmtId val="0"/>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IN"/>
              <a:t>pcod</a:t>
            </a:r>
            <a:r>
              <a:rPr lang="en-IN" baseline="0"/>
              <a:t> vs stress level</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 1'!$H$3:$H$4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1'!$G$5:$G$8</c:f>
              <c:strCache>
                <c:ptCount val="3"/>
                <c:pt idx="0">
                  <c:v>High</c:v>
                </c:pt>
                <c:pt idx="1">
                  <c:v>Low</c:v>
                </c:pt>
                <c:pt idx="2">
                  <c:v>Medium</c:v>
                </c:pt>
              </c:strCache>
            </c:strRef>
          </c:cat>
          <c:val>
            <c:numRef>
              <c:f>'objective 1'!$H$5:$H$8</c:f>
              <c:numCache>
                <c:formatCode>General</c:formatCode>
                <c:ptCount val="3"/>
                <c:pt idx="0">
                  <c:v>39</c:v>
                </c:pt>
                <c:pt idx="1">
                  <c:v>32</c:v>
                </c:pt>
                <c:pt idx="2">
                  <c:v>33</c:v>
                </c:pt>
              </c:numCache>
            </c:numRef>
          </c:val>
          <c:extLst>
            <c:ext xmlns:c16="http://schemas.microsoft.com/office/drawing/2014/chart" uri="{C3380CC4-5D6E-409C-BE32-E72D297353CC}">
              <c16:uniqueId val="{00000000-C307-418C-8902-8B8F69E8FFAB}"/>
            </c:ext>
          </c:extLst>
        </c:ser>
        <c:ser>
          <c:idx val="1"/>
          <c:order val="1"/>
          <c:tx>
            <c:strRef>
              <c:f>'objective 1'!$I$3:$I$4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'objective 1'!$G$5:$G$8</c:f>
              <c:strCache>
                <c:ptCount val="3"/>
                <c:pt idx="0">
                  <c:v>High</c:v>
                </c:pt>
                <c:pt idx="1">
                  <c:v>Low</c:v>
                </c:pt>
                <c:pt idx="2">
                  <c:v>Medium</c:v>
                </c:pt>
              </c:strCache>
            </c:strRef>
          </c:cat>
          <c:val>
            <c:numRef>
              <c:f>'objective 1'!$I$5:$I$8</c:f>
              <c:numCache>
                <c:formatCode>General</c:formatCode>
                <c:ptCount val="3"/>
                <c:pt idx="0">
                  <c:v>26</c:v>
                </c:pt>
                <c:pt idx="1">
                  <c:v>36</c:v>
                </c:pt>
                <c:pt idx="2">
                  <c:v>34</c:v>
                </c:pt>
              </c:numCache>
            </c:numRef>
          </c:val>
          <c:extLst>
            <c:ext xmlns:c16="http://schemas.microsoft.com/office/drawing/2014/chart" uri="{C3380CC4-5D6E-409C-BE32-E72D297353CC}">
              <c16:uniqueId val="{00000000-803E-4FFC-B4B9-4B3361383FA5}"/>
            </c:ext>
          </c:extLst>
        </c:ser>
        <c:dLbls>
          <c:dLblPos val="outEnd"/>
          <c:showLegendKey val="0"/>
          <c:showVal val="1"/>
          <c:showCatName val="0"/>
          <c:showSerName val="0"/>
          <c:showPercent val="0"/>
          <c:showBubbleSize val="0"/>
        </c:dLbls>
        <c:gapWidth val="100"/>
        <c:overlap val="-24"/>
        <c:axId val="1806428688"/>
        <c:axId val="1806422928"/>
      </c:barChart>
      <c:catAx>
        <c:axId val="18064286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6422928"/>
        <c:crosses val="autoZero"/>
        <c:auto val="1"/>
        <c:lblAlgn val="ctr"/>
        <c:lblOffset val="100"/>
        <c:noMultiLvlLbl val="0"/>
      </c:catAx>
      <c:valAx>
        <c:axId val="180642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0642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(1).xlsx]objective2!PivotTable7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diet</a:t>
            </a:r>
            <a:r>
              <a:rPr lang="en-US" baseline="0"/>
              <a:t> vs bloating</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objective2!$B$3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F69-47F9-8551-EEE4F65CFE0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F69-47F9-8551-EEE4F65CFE0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F69-47F9-8551-EEE4F65CFE0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objective2!$A$4:$A$7</c:f>
              <c:strCache>
                <c:ptCount val="3"/>
                <c:pt idx="0">
                  <c:v>Mixed</c:v>
                </c:pt>
                <c:pt idx="1">
                  <c:v>Non-Veg</c:v>
                </c:pt>
                <c:pt idx="2">
                  <c:v>Veg</c:v>
                </c:pt>
              </c:strCache>
            </c:strRef>
          </c:cat>
          <c:val>
            <c:numRef>
              <c:f>objective2!$B$4:$B$7</c:f>
              <c:numCache>
                <c:formatCode>General</c:formatCode>
                <c:ptCount val="3"/>
                <c:pt idx="0">
                  <c:v>66</c:v>
                </c:pt>
                <c:pt idx="1">
                  <c:v>70</c:v>
                </c:pt>
                <c:pt idx="2">
                  <c:v>64</c:v>
                </c:pt>
              </c:numCache>
            </c:numRef>
          </c:val>
          <c:extLst>
            <c:ext xmlns:c16="http://schemas.microsoft.com/office/drawing/2014/chart" uri="{C3380CC4-5D6E-409C-BE32-E72D297353CC}">
              <c16:uniqueId val="{00000000-D6BB-445A-B579-51B1516A1D2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(1).xlsx]objective2!PivotTable8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objective2!$H$3:$H$4</c:f>
              <c:strCache>
                <c:ptCount val="1"/>
                <c:pt idx="0">
                  <c:v>High</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objective2!$G$5:$G$8</c:f>
              <c:strCache>
                <c:ptCount val="3"/>
                <c:pt idx="0">
                  <c:v>High</c:v>
                </c:pt>
                <c:pt idx="1">
                  <c:v>Low</c:v>
                </c:pt>
                <c:pt idx="2">
                  <c:v>Medium</c:v>
                </c:pt>
              </c:strCache>
            </c:strRef>
          </c:cat>
          <c:val>
            <c:numRef>
              <c:f>objective2!$H$5:$H$8</c:f>
              <c:numCache>
                <c:formatCode>General</c:formatCode>
                <c:ptCount val="3"/>
                <c:pt idx="0">
                  <c:v>23</c:v>
                </c:pt>
                <c:pt idx="1">
                  <c:v>23</c:v>
                </c:pt>
                <c:pt idx="2">
                  <c:v>22</c:v>
                </c:pt>
              </c:numCache>
            </c:numRef>
          </c:val>
          <c:extLst>
            <c:ext xmlns:c16="http://schemas.microsoft.com/office/drawing/2014/chart" uri="{C3380CC4-5D6E-409C-BE32-E72D297353CC}">
              <c16:uniqueId val="{00000000-2E32-46E0-84FF-A7331EB88646}"/>
            </c:ext>
          </c:extLst>
        </c:ser>
        <c:ser>
          <c:idx val="1"/>
          <c:order val="1"/>
          <c:tx>
            <c:strRef>
              <c:f>objective2!$I$3:$I$4</c:f>
              <c:strCache>
                <c:ptCount val="1"/>
                <c:pt idx="0">
                  <c:v>Low</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objective2!$G$5:$G$8</c:f>
              <c:strCache>
                <c:ptCount val="3"/>
                <c:pt idx="0">
                  <c:v>High</c:v>
                </c:pt>
                <c:pt idx="1">
                  <c:v>Low</c:v>
                </c:pt>
                <c:pt idx="2">
                  <c:v>Medium</c:v>
                </c:pt>
              </c:strCache>
            </c:strRef>
          </c:cat>
          <c:val>
            <c:numRef>
              <c:f>objective2!$I$5:$I$8</c:f>
              <c:numCache>
                <c:formatCode>General</c:formatCode>
                <c:ptCount val="3"/>
                <c:pt idx="0">
                  <c:v>22</c:v>
                </c:pt>
                <c:pt idx="1">
                  <c:v>23</c:v>
                </c:pt>
                <c:pt idx="2">
                  <c:v>24</c:v>
                </c:pt>
              </c:numCache>
            </c:numRef>
          </c:val>
          <c:extLst>
            <c:ext xmlns:c16="http://schemas.microsoft.com/office/drawing/2014/chart" uri="{C3380CC4-5D6E-409C-BE32-E72D297353CC}">
              <c16:uniqueId val="{00000001-2E32-46E0-84FF-A7331EB88646}"/>
            </c:ext>
          </c:extLst>
        </c:ser>
        <c:ser>
          <c:idx val="2"/>
          <c:order val="2"/>
          <c:tx>
            <c:strRef>
              <c:f>objective2!$J$3:$J$4</c:f>
              <c:strCache>
                <c:ptCount val="1"/>
                <c:pt idx="0">
                  <c:v>Medium</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objective2!$G$5:$G$8</c:f>
              <c:strCache>
                <c:ptCount val="3"/>
                <c:pt idx="0">
                  <c:v>High</c:v>
                </c:pt>
                <c:pt idx="1">
                  <c:v>Low</c:v>
                </c:pt>
                <c:pt idx="2">
                  <c:v>Medium</c:v>
                </c:pt>
              </c:strCache>
            </c:strRef>
          </c:cat>
          <c:val>
            <c:numRef>
              <c:f>objective2!$J$5:$J$8</c:f>
              <c:numCache>
                <c:formatCode>General</c:formatCode>
                <c:ptCount val="3"/>
                <c:pt idx="0">
                  <c:v>21</c:v>
                </c:pt>
                <c:pt idx="1">
                  <c:v>28</c:v>
                </c:pt>
                <c:pt idx="2">
                  <c:v>14</c:v>
                </c:pt>
              </c:numCache>
            </c:numRef>
          </c:val>
          <c:extLst>
            <c:ext xmlns:c16="http://schemas.microsoft.com/office/drawing/2014/chart" uri="{C3380CC4-5D6E-409C-BE32-E72D297353CC}">
              <c16:uniqueId val="{00000002-2E32-46E0-84FF-A7331EB88646}"/>
            </c:ext>
          </c:extLst>
        </c:ser>
        <c:dLbls>
          <c:dLblPos val="outEnd"/>
          <c:showLegendKey val="0"/>
          <c:showVal val="1"/>
          <c:showCatName val="0"/>
          <c:showSerName val="0"/>
          <c:showPercent val="0"/>
          <c:showBubbleSize val="0"/>
        </c:dLbls>
        <c:gapWidth val="444"/>
        <c:overlap val="-90"/>
        <c:axId val="1562380752"/>
        <c:axId val="1562381232"/>
      </c:barChart>
      <c:catAx>
        <c:axId val="156238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dk1"/>
                </a:solidFill>
                <a:latin typeface="+mn-lt"/>
                <a:ea typeface="+mn-ea"/>
                <a:cs typeface="+mn-cs"/>
              </a:defRPr>
            </a:pPr>
            <a:endParaRPr lang="en-US"/>
          </a:p>
        </c:txPr>
        <c:crossAx val="1562381232"/>
        <c:crosses val="autoZero"/>
        <c:auto val="1"/>
        <c:lblAlgn val="ctr"/>
        <c:lblOffset val="100"/>
        <c:noMultiLvlLbl val="0"/>
      </c:catAx>
      <c:valAx>
        <c:axId val="1562381232"/>
        <c:scaling>
          <c:orientation val="minMax"/>
        </c:scaling>
        <c:delete val="1"/>
        <c:axPos val="l"/>
        <c:numFmt formatCode="General" sourceLinked="1"/>
        <c:majorTickMark val="none"/>
        <c:minorTickMark val="none"/>
        <c:tickLblPos val="nextTo"/>
        <c:crossAx val="1562380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(1).xlsx]objective3!PivotTable6</c:name>
    <c:fmtId val="0"/>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IN"/>
              <a:t>Exercise Minutes vs Abdominal Fat Level</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objective3!$B$3:$B$4</c:f>
              <c:strCache>
                <c:ptCount val="1"/>
                <c:pt idx="0">
                  <c:v>High</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objective3!$A$5:$A$10</c:f>
              <c:strCache>
                <c:ptCount val="5"/>
                <c:pt idx="0">
                  <c:v>0</c:v>
                </c:pt>
                <c:pt idx="1">
                  <c:v>15</c:v>
                </c:pt>
                <c:pt idx="2">
                  <c:v>30</c:v>
                </c:pt>
                <c:pt idx="3">
                  <c:v>45</c:v>
                </c:pt>
                <c:pt idx="4">
                  <c:v>60</c:v>
                </c:pt>
              </c:strCache>
            </c:strRef>
          </c:cat>
          <c:val>
            <c:numRef>
              <c:f>objective3!$B$5:$B$10</c:f>
              <c:numCache>
                <c:formatCode>General</c:formatCode>
                <c:ptCount val="5"/>
                <c:pt idx="0">
                  <c:v>7</c:v>
                </c:pt>
                <c:pt idx="1">
                  <c:v>20</c:v>
                </c:pt>
                <c:pt idx="2">
                  <c:v>13</c:v>
                </c:pt>
                <c:pt idx="3">
                  <c:v>13</c:v>
                </c:pt>
                <c:pt idx="4">
                  <c:v>15</c:v>
                </c:pt>
              </c:numCache>
            </c:numRef>
          </c:val>
          <c:extLst>
            <c:ext xmlns:c16="http://schemas.microsoft.com/office/drawing/2014/chart" uri="{C3380CC4-5D6E-409C-BE32-E72D297353CC}">
              <c16:uniqueId val="{00000000-8FA4-43F4-B01E-BB8ABCCA715D}"/>
            </c:ext>
          </c:extLst>
        </c:ser>
        <c:ser>
          <c:idx val="1"/>
          <c:order val="1"/>
          <c:tx>
            <c:strRef>
              <c:f>objective3!$C$3:$C$4</c:f>
              <c:strCache>
                <c:ptCount val="1"/>
                <c:pt idx="0">
                  <c:v>Low</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objective3!$A$5:$A$10</c:f>
              <c:strCache>
                <c:ptCount val="5"/>
                <c:pt idx="0">
                  <c:v>0</c:v>
                </c:pt>
                <c:pt idx="1">
                  <c:v>15</c:v>
                </c:pt>
                <c:pt idx="2">
                  <c:v>30</c:v>
                </c:pt>
                <c:pt idx="3">
                  <c:v>45</c:v>
                </c:pt>
                <c:pt idx="4">
                  <c:v>60</c:v>
                </c:pt>
              </c:strCache>
            </c:strRef>
          </c:cat>
          <c:val>
            <c:numRef>
              <c:f>objective3!$C$5:$C$10</c:f>
              <c:numCache>
                <c:formatCode>General</c:formatCode>
                <c:ptCount val="5"/>
                <c:pt idx="0">
                  <c:v>10</c:v>
                </c:pt>
                <c:pt idx="1">
                  <c:v>10</c:v>
                </c:pt>
                <c:pt idx="2">
                  <c:v>8</c:v>
                </c:pt>
                <c:pt idx="3">
                  <c:v>11</c:v>
                </c:pt>
                <c:pt idx="4">
                  <c:v>18</c:v>
                </c:pt>
              </c:numCache>
            </c:numRef>
          </c:val>
          <c:extLst>
            <c:ext xmlns:c16="http://schemas.microsoft.com/office/drawing/2014/chart" uri="{C3380CC4-5D6E-409C-BE32-E72D297353CC}">
              <c16:uniqueId val="{00000001-8FA4-43F4-B01E-BB8ABCCA715D}"/>
            </c:ext>
          </c:extLst>
        </c:ser>
        <c:ser>
          <c:idx val="2"/>
          <c:order val="2"/>
          <c:tx>
            <c:strRef>
              <c:f>objective3!$D$3:$D$4</c:f>
              <c:strCache>
                <c:ptCount val="1"/>
                <c:pt idx="0">
                  <c:v>Medium</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objective3!$A$5:$A$10</c:f>
              <c:strCache>
                <c:ptCount val="5"/>
                <c:pt idx="0">
                  <c:v>0</c:v>
                </c:pt>
                <c:pt idx="1">
                  <c:v>15</c:v>
                </c:pt>
                <c:pt idx="2">
                  <c:v>30</c:v>
                </c:pt>
                <c:pt idx="3">
                  <c:v>45</c:v>
                </c:pt>
                <c:pt idx="4">
                  <c:v>60</c:v>
                </c:pt>
              </c:strCache>
            </c:strRef>
          </c:cat>
          <c:val>
            <c:numRef>
              <c:f>objective3!$D$5:$D$10</c:f>
              <c:numCache>
                <c:formatCode>General</c:formatCode>
                <c:ptCount val="5"/>
                <c:pt idx="0">
                  <c:v>15</c:v>
                </c:pt>
                <c:pt idx="1">
                  <c:v>15</c:v>
                </c:pt>
                <c:pt idx="2">
                  <c:v>14</c:v>
                </c:pt>
                <c:pt idx="3">
                  <c:v>22</c:v>
                </c:pt>
                <c:pt idx="4">
                  <c:v>9</c:v>
                </c:pt>
              </c:numCache>
            </c:numRef>
          </c:val>
          <c:extLst>
            <c:ext xmlns:c16="http://schemas.microsoft.com/office/drawing/2014/chart" uri="{C3380CC4-5D6E-409C-BE32-E72D297353CC}">
              <c16:uniqueId val="{00000002-8FA4-43F4-B01E-BB8ABCCA715D}"/>
            </c:ext>
          </c:extLst>
        </c:ser>
        <c:dLbls>
          <c:dLblPos val="outEnd"/>
          <c:showLegendKey val="0"/>
          <c:showVal val="1"/>
          <c:showCatName val="0"/>
          <c:showSerName val="0"/>
          <c:showPercent val="0"/>
          <c:showBubbleSize val="0"/>
        </c:dLbls>
        <c:gapWidth val="315"/>
        <c:overlap val="-40"/>
        <c:axId val="888327952"/>
        <c:axId val="888338992"/>
      </c:barChart>
      <c:catAx>
        <c:axId val="888327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8338992"/>
        <c:crosses val="autoZero"/>
        <c:auto val="1"/>
        <c:lblAlgn val="ctr"/>
        <c:lblOffset val="100"/>
        <c:noMultiLvlLbl val="0"/>
      </c:catAx>
      <c:valAx>
        <c:axId val="8883389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8832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(1).xlsx]objective 5!PivotTable11</c:name>
    <c:fmtId val="0"/>
  </c:pivotSource>
  <c:chart>
    <c:title>
      <c:tx>
        <c:rich>
          <a:bodyPr rot="0" spcFirstLastPara="1" vertOverflow="ellipsis" vert="horz" wrap="square" anchor="ctr" anchorCtr="1"/>
          <a:lstStyle/>
          <a:p>
            <a:pPr>
              <a:defRPr sz="1440" b="0" i="0" u="none" strike="noStrike" kern="1200" cap="all" spc="0" baseline="0">
                <a:solidFill>
                  <a:schemeClr val="dk1"/>
                </a:solidFill>
                <a:latin typeface="+mn-lt"/>
                <a:ea typeface="+mn-ea"/>
                <a:cs typeface="+mn-cs"/>
              </a:defRPr>
            </a:pPr>
            <a:r>
              <a:rPr lang="en-US"/>
              <a:t>CYCLE REGULARITY</a:t>
            </a:r>
          </a:p>
        </c:rich>
      </c:tx>
      <c:overlay val="0"/>
      <c:spPr>
        <a:noFill/>
        <a:ln>
          <a:noFill/>
        </a:ln>
        <a:effectLst/>
      </c:spPr>
      <c:txPr>
        <a:bodyPr rot="0" spcFirstLastPara="1" vertOverflow="ellipsis" vert="horz" wrap="square" anchor="ctr" anchorCtr="1"/>
        <a:lstStyle/>
        <a:p>
          <a:pPr>
            <a:defRPr sz="1440" b="0" i="0" u="none" strike="noStrike" kern="1200" cap="all" spc="0" baseline="0">
              <a:solidFill>
                <a:schemeClr val="dk1"/>
              </a:solidFill>
              <a:latin typeface="+mn-lt"/>
              <a:ea typeface="+mn-ea"/>
              <a:cs typeface="+mn-cs"/>
            </a:defRPr>
          </a:pPr>
          <a:endParaRPr lang="en-US"/>
        </a:p>
      </c:txPr>
    </c:title>
    <c:autoTitleDeleted val="0"/>
    <c:pivotFmts>
      <c:pivotFmt>
        <c:idx val="0"/>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'objective 5'!$B$3</c:f>
              <c:strCache>
                <c:ptCount val="1"/>
                <c:pt idx="0">
                  <c:v>Total</c:v>
                </c:pt>
              </c:strCache>
            </c:strRef>
          </c:tx>
          <c:spPr>
            <a:ln w="19050" cap="rnd" cmpd="sng" algn="ctr">
              <a:solidFill>
                <a:schemeClr val="accent2">
                  <a:shade val="95000"/>
                  <a:satMod val="105000"/>
                </a:schemeClr>
              </a:solidFill>
              <a:round/>
            </a:ln>
            <a:effectLst/>
          </c:spPr>
          <c:marker>
            <c:symbol val="circle"/>
            <c:size val="17"/>
            <c:spPr>
              <a:solidFill>
                <a:schemeClr val="lt1"/>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'objective 5'!$A$4:$A$6</c:f>
              <c:strCache>
                <c:ptCount val="2"/>
                <c:pt idx="0">
                  <c:v>Irregular</c:v>
                </c:pt>
                <c:pt idx="1">
                  <c:v>Regular</c:v>
                </c:pt>
              </c:strCache>
            </c:strRef>
          </c:cat>
          <c:val>
            <c:numRef>
              <c:f>'objective 5'!$B$4:$B$6</c:f>
              <c:numCache>
                <c:formatCode>General</c:formatCode>
                <c:ptCount val="2"/>
                <c:pt idx="0">
                  <c:v>9959</c:v>
                </c:pt>
                <c:pt idx="1">
                  <c:v>10141</c:v>
                </c:pt>
              </c:numCache>
            </c:numRef>
          </c:val>
          <c:smooth val="0"/>
          <c:extLst>
            <c:ext xmlns:c16="http://schemas.microsoft.com/office/drawing/2014/chart" uri="{C3380CC4-5D6E-409C-BE32-E72D297353CC}">
              <c16:uniqueId val="{00000000-0273-4E54-BD08-59213FAC554B}"/>
            </c:ext>
          </c:extLst>
        </c:ser>
        <c:dLbls>
          <c:dLblPos val="ctr"/>
          <c:showLegendKey val="0"/>
          <c:showVal val="1"/>
          <c:showCatName val="0"/>
          <c:showSerName val="0"/>
          <c:showPercent val="0"/>
          <c:showBubbleSize val="0"/>
        </c:dLbls>
        <c:marker val="1"/>
        <c:smooth val="0"/>
        <c:axId val="1806415728"/>
        <c:axId val="1806430128"/>
      </c:lineChart>
      <c:catAx>
        <c:axId val="18064157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806430128"/>
        <c:crosses val="autoZero"/>
        <c:auto val="1"/>
        <c:lblAlgn val="ctr"/>
        <c:lblOffset val="100"/>
        <c:noMultiLvlLbl val="0"/>
      </c:catAx>
      <c:valAx>
        <c:axId val="1806430128"/>
        <c:scaling>
          <c:orientation val="minMax"/>
        </c:scaling>
        <c:delete val="1"/>
        <c:axPos val="l"/>
        <c:numFmt formatCode="General" sourceLinked="1"/>
        <c:majorTickMark val="none"/>
        <c:minorTickMark val="none"/>
        <c:tickLblPos val="nextTo"/>
        <c:crossAx val="1806415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IN"/>
              <a:t>SLEEP HOURS </a:t>
            </a:r>
          </a:p>
        </c:rich>
      </c:tx>
      <c:layout>
        <c:manualLayout>
          <c:xMode val="edge"/>
          <c:yMode val="edge"/>
          <c:x val="0.384090113735783"/>
          <c:y val="4.166666666666666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lotArea>
      <c:layout>
        <c:manualLayout>
          <c:layoutTarget val="inner"/>
          <c:xMode val="edge"/>
          <c:yMode val="edge"/>
          <c:x val="0.37714107611548564"/>
          <c:y val="0.20050925925925925"/>
          <c:w val="0.57485892388451443"/>
          <c:h val="0.71560987168270629"/>
        </c:manualLayout>
      </c:layout>
      <c:barChart>
        <c:barDir val="bar"/>
        <c:grouping val="clustered"/>
        <c:varyColors val="0"/>
        <c:ser>
          <c:idx val="0"/>
          <c:order val="0"/>
          <c:spPr>
            <a:pattFill prst="ltUpDiag">
              <a:fgClr>
                <a:schemeClr val="accent1"/>
              </a:fgClr>
              <a:bgClr>
                <a:schemeClr val="lt1"/>
              </a:bgClr>
            </a:pattFill>
            <a:ln>
              <a:noFill/>
            </a:ln>
            <a:effectLst/>
          </c:spPr>
          <c:invertIfNegative val="0"/>
          <c:dLbls>
            <c:spPr>
              <a:solidFill>
                <a:schemeClr val="accent1">
                  <a:alpha val="7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'objective 6'!$A$1:$A$5</c:f>
              <c:strCache>
                <c:ptCount val="5"/>
                <c:pt idx="0">
                  <c:v>MEAN OF SLEEP HOURS</c:v>
                </c:pt>
                <c:pt idx="1">
                  <c:v>MEDIAN OF SLEEP HOURS</c:v>
                </c:pt>
                <c:pt idx="2">
                  <c:v>MODE OF SLEEP HOURS</c:v>
                </c:pt>
                <c:pt idx="3">
                  <c:v>VARIANCE OF SLEEP HOURS</c:v>
                </c:pt>
                <c:pt idx="4">
                  <c:v>STANDARD DEVIATION</c:v>
                </c:pt>
              </c:strCache>
            </c:strRef>
          </c:cat>
          <c:val>
            <c:numRef>
              <c:f>'objective 6'!$B$1:$B$5</c:f>
              <c:numCache>
                <c:formatCode>General</c:formatCode>
                <c:ptCount val="5"/>
                <c:pt idx="0">
                  <c:v>7.03</c:v>
                </c:pt>
                <c:pt idx="1">
                  <c:v>7</c:v>
                </c:pt>
                <c:pt idx="2">
                  <c:v>5</c:v>
                </c:pt>
                <c:pt idx="3">
                  <c:v>2.2090999999999998</c:v>
                </c:pt>
                <c:pt idx="4">
                  <c:v>1.4863041411501214</c:v>
                </c:pt>
              </c:numCache>
            </c:numRef>
          </c:val>
          <c:extLst>
            <c:ext xmlns:c16="http://schemas.microsoft.com/office/drawing/2014/chart" uri="{C3380CC4-5D6E-409C-BE32-E72D297353CC}">
              <c16:uniqueId val="{00000000-74B1-4E39-87A6-176463921672}"/>
            </c:ext>
          </c:extLst>
        </c:ser>
        <c:dLbls>
          <c:dLblPos val="outEnd"/>
          <c:showLegendKey val="0"/>
          <c:showVal val="1"/>
          <c:showCatName val="0"/>
          <c:showSerName val="0"/>
          <c:showPercent val="0"/>
          <c:showBubbleSize val="0"/>
        </c:dLbls>
        <c:gapWidth val="269"/>
        <c:overlap val="-20"/>
        <c:axId val="2006290848"/>
        <c:axId val="2006291328"/>
      </c:barChart>
      <c:catAx>
        <c:axId val="200629084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dk1"/>
                </a:solidFill>
                <a:latin typeface="+mn-lt"/>
                <a:ea typeface="+mn-ea"/>
                <a:cs typeface="+mn-cs"/>
              </a:defRPr>
            </a:pPr>
            <a:endParaRPr lang="en-US"/>
          </a:p>
        </c:txPr>
        <c:crossAx val="2006291328"/>
        <c:crosses val="autoZero"/>
        <c:auto val="1"/>
        <c:lblAlgn val="ctr"/>
        <c:lblOffset val="100"/>
        <c:noMultiLvlLbl val="0"/>
      </c:catAx>
      <c:valAx>
        <c:axId val="20062913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6290848"/>
        <c:crosses val="autoZero"/>
        <c:crossBetween val="between"/>
      </c:valAx>
      <c:spPr>
        <a:noFill/>
        <a:ln>
          <a:noFill/>
        </a:ln>
        <a:effectLst/>
      </c:spPr>
    </c:plotArea>
    <c:plotVisOnly val="1"/>
    <c:dispBlanksAs val="gap"/>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[pearl_course_1_sprint_project_.xlsv (1).xlsx]status!PivotTable1</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PCOD</a:t>
            </a:r>
            <a:r>
              <a:rPr lang="en-US" baseline="0">
                <a:solidFill>
                  <a:schemeClr val="bg1"/>
                </a:solidFill>
              </a:rPr>
              <a:t> status</a:t>
            </a:r>
            <a:endParaRPr lang="en-US">
              <a:solidFill>
                <a:schemeClr val="bg1"/>
              </a:solidFill>
            </a:endParaRPr>
          </a:p>
        </c:rich>
      </c:tx>
      <c:overlay val="0"/>
      <c:spPr>
        <a:solidFill>
          <a:schemeClr val="tx2">
            <a:lumMod val="90000"/>
            <a:lumOff val="10000"/>
          </a:schemeClr>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status!$B$3</c:f>
              <c:strCache>
                <c:ptCount val="1"/>
                <c:pt idx="0">
                  <c:v>Total</c:v>
                </c:pt>
              </c:strCache>
            </c:strRef>
          </c:tx>
          <c:spPr>
            <a:solidFill>
              <a:schemeClr val="accent1"/>
            </a:solidFill>
            <a:ln w="19050">
              <a:solidFill>
                <a:schemeClr val="lt1"/>
              </a:solidFill>
            </a:ln>
            <a:effectLst/>
          </c:spPr>
          <c:invertIfNegative val="0"/>
          <c:cat>
            <c:strRef>
              <c:f>status!$A$4:$A$6</c:f>
              <c:strCache>
                <c:ptCount val="2"/>
                <c:pt idx="0">
                  <c:v>No</c:v>
                </c:pt>
                <c:pt idx="1">
                  <c:v>Yes</c:v>
                </c:pt>
              </c:strCache>
            </c:strRef>
          </c:cat>
          <c:val>
            <c:numRef>
              <c:f>status!$B$4:$B$6</c:f>
              <c:numCache>
                <c:formatCode>General</c:formatCode>
                <c:ptCount val="2"/>
                <c:pt idx="0">
                  <c:v>10857</c:v>
                </c:pt>
                <c:pt idx="1">
                  <c:v>9243</c:v>
                </c:pt>
              </c:numCache>
            </c:numRef>
          </c:val>
          <c:extLst>
            <c:ext xmlns:c16="http://schemas.microsoft.com/office/drawing/2014/chart" uri="{C3380CC4-5D6E-409C-BE32-E72D297353CC}">
              <c16:uniqueId val="{00000000-5917-4AB7-935C-D36E4339DAF0}"/>
            </c:ext>
          </c:extLst>
        </c:ser>
        <c:dLbls>
          <c:showLegendKey val="0"/>
          <c:showVal val="0"/>
          <c:showCatName val="0"/>
          <c:showSerName val="0"/>
          <c:showPercent val="0"/>
          <c:showBubbleSize val="0"/>
        </c:dLbls>
        <c:gapWidth val="150"/>
        <c:axId val="427410176"/>
        <c:axId val="427414496"/>
      </c:barChart>
      <c:catAx>
        <c:axId val="427410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14496"/>
        <c:crosses val="autoZero"/>
        <c:auto val="1"/>
        <c:lblAlgn val="ctr"/>
        <c:lblOffset val="100"/>
        <c:noMultiLvlLbl val="0"/>
      </c:catAx>
      <c:valAx>
        <c:axId val="42741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741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bmi  outlier analysis</cx:v>
        </cx:txData>
      </cx:tx>
      <cx:txPr>
        <a:bodyPr spcFirstLastPara="1" vertOverflow="ellipsis" horzOverflow="overflow" wrap="square" lIns="0" tIns="0" rIns="0" bIns="0" anchor="ctr" anchorCtr="1"/>
        <a:lstStyle/>
        <a:p>
          <a:pPr algn="ctr" rtl="0">
            <a:defRPr/>
          </a:pPr>
          <a:r>
            <a:rPr lang="en-US" sz="1800" b="1" i="0" u="none" strike="noStrike" cap="all" spc="150" baseline="0">
              <a:solidFill>
                <a:sysClr val="windowText" lastClr="000000">
                  <a:lumMod val="50000"/>
                  <a:lumOff val="50000"/>
                </a:sysClr>
              </a:solidFill>
              <a:latin typeface="Aptos Narrow" panose="02110004020202020204"/>
            </a:rPr>
            <a:t>bmi  outlier analysis</a:t>
          </a:r>
        </a:p>
      </cx:txPr>
    </cx:title>
    <cx:plotArea>
      <cx:plotAreaRegion>
        <cx:series layoutId="boxWhisker" uniqueId="{421C308F-12C8-4BDB-9120-2FBADE0538C6}">
          <cx:tx>
            <cx:txData>
              <cx:f>_xlchart.v1.0</cx:f>
              <cx:v>BMI</cx:v>
            </cx:txData>
          </cx:tx>
          <cx:dataLabels>
            <cx:visibility seriesName="0" categoryName="0" value="1"/>
          </cx:dataLabels>
          <cx:dataId val="0"/>
          <cx:layoutPr>
            <cx:visibility meanLine="0" meanMarker="1" nonoutliers="0" outliers="1"/>
            <cx:statistics quartileMethod="ex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bmi OTLIERS</cx:v>
        </cx:txData>
      </cx:tx>
      <cx:txPr>
        <a:bodyPr spcFirstLastPara="1" vertOverflow="ellipsis" horzOverflow="overflow" wrap="square" lIns="0" tIns="0" rIns="0" bIns="0" anchor="ctr" anchorCtr="1"/>
        <a:lstStyle/>
        <a:p>
          <a:pPr algn="ctr" rtl="0">
            <a:defRPr/>
          </a:pPr>
          <a:r>
            <a:rPr lang="en-US" sz="1800" b="1" i="0" u="none" strike="noStrike" cap="all" spc="150" baseline="0">
              <a:solidFill>
                <a:sysClr val="windowText" lastClr="000000">
                  <a:lumMod val="50000"/>
                  <a:lumOff val="50000"/>
                </a:sysClr>
              </a:solidFill>
              <a:latin typeface="Aptos Narrow" panose="02110004020202020204"/>
            </a:rPr>
            <a:t>bmi OTLIERS</a:t>
          </a:r>
        </a:p>
      </cx:txPr>
    </cx:title>
    <cx:plotArea>
      <cx:plotAreaRegion>
        <cx:series layoutId="boxWhisker" uniqueId="{421C308F-12C8-4BDB-9120-2FBADE0538C6}">
          <cx:tx>
            <cx:txData>
              <cx:f>_xlchart.v1.2</cx:f>
              <cx:v>BMI</cx:v>
            </cx:txData>
          </cx:tx>
          <cx:dataLabels>
            <cx:visibility seriesName="0" categoryName="0" value="1"/>
          </cx:dataLabels>
          <cx:dataId val="0"/>
          <cx:layoutPr>
            <cx:visibility meanLine="0" meanMarker="0" nonoutliers="0" outliers="1"/>
            <cx:statistics quartileMethod="exclusive"/>
          </cx:layoutPr>
        </cx:series>
      </cx:plotAreaRegion>
      <cx:axis id="0">
        <cx:catScaling gapWidth="1.10000002"/>
        <cx:tickLabels/>
      </cx:axis>
      <cx:axis id="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34">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1000" kern="120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cs:styleClr val="auto"/>
    </cs:fontRef>
    <cs:spPr/>
    <cs:defRPr sz="900" b="1" i="0" u="none" strike="noStrike" kern="1200" baseline="0"/>
  </cs:dataLabel>
  <cs:dataLabelCallout>
    <cs:lnRef idx="0"/>
    <cs:fillRef idx="0"/>
    <cs:effectRef idx="0"/>
    <cs:fontRef idx="minor">
      <a:schemeClr val="dk1">
        <a:lumMod val="65000"/>
        <a:lumOff val="35000"/>
      </a:schemeClr>
    </cs:fontRef>
    <cs:spPr>
      <a:solidFill>
        <a:schemeClr val="lt1"/>
      </a:solidFill>
      <a:ln w="9575">
        <a:solidFill>
          <a:schemeClr val="lt1">
            <a:lumMod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19050" cap="rnd" cmpd="sng" algn="ctr">
        <a:solidFill>
          <a:schemeClr val="phClr">
            <a:shade val="95000"/>
            <a:satMod val="105000"/>
          </a:schemeClr>
        </a:solidFill>
        <a:round/>
      </a:ln>
    </cs:spPr>
  </cs:dataPointLine>
  <cs:dataPointMarker>
    <cs:lnRef idx="0"/>
    <cs:fillRef idx="0"/>
    <cs:effectRef idx="0"/>
    <cs:fontRef idx="minor">
      <a:schemeClr val="dk1"/>
    </cs:fontRef>
    <cs:spPr>
      <a:solidFill>
        <a:schemeClr val="lt1"/>
      </a:solidFill>
    </cs:spPr>
  </cs:dataPointMarker>
  <cs:dataPointMarkerLayout symbol="circle" size="17"/>
  <cs:dataPointWireframe>
    <cs:lnRef idx="0">
      <cs:styleClr val="auto"/>
    </cs:lnRef>
    <cs:fillRef idx="1"/>
    <cs:effectRef idx="0"/>
    <cs:fontRef idx="minor">
      <a:schemeClr val="dk1"/>
    </cs:fontRef>
    <cs:spPr>
      <a:ln w="9525">
        <a:solidFill>
          <a:schemeClr val="phClr"/>
        </a:solidFill>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35000"/>
            <a:lumOff val="65000"/>
          </a:schemeClr>
        </a:solidFill>
      </a:ln>
    </cs:spPr>
  </cs:dropLine>
  <cs:errorBar>
    <cs:lnRef idx="0"/>
    <cs:fillRef idx="0"/>
    <cs:effectRef idx="0"/>
    <cs:fontRef idx="minor">
      <a:schemeClr val="dk1"/>
    </cs:fontRef>
    <cs:spPr>
      <a:ln w="9525">
        <a:solidFill>
          <a:schemeClr val="dk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ln>
    </cs:spPr>
  </cs:seriesLine>
  <cs:title>
    <cs:lnRef idx="0"/>
    <cs:fillRef idx="0"/>
    <cs:effectRef idx="0"/>
    <cs:fontRef idx="minor">
      <a:schemeClr val="dk1"/>
    </cs:fontRef>
    <cs:defRPr sz="1440" b="0" kern="1200" cap="all" spc="0" baseline="0">
      <a:gradFill>
        <a:gsLst>
          <a:gs pos="0">
            <a:schemeClr val="dk1">
              <a:lumMod val="50000"/>
              <a:lumOff val="50000"/>
            </a:schemeClr>
          </a:gs>
          <a:gs pos="100000">
            <a:schemeClr val="dk1">
              <a:lumMod val="85000"/>
              <a:lumOff val="15000"/>
            </a:schemeClr>
          </a:gs>
        </a:gsLst>
        <a:lin ang="5400000" scaled="0"/>
      </a:gradFill>
    </cs:defRPr>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50000"/>
            <a:lumOff val="50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png"/><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10</xdr:col>
      <xdr:colOff>476250</xdr:colOff>
      <xdr:row>8</xdr:row>
      <xdr:rowOff>157162</xdr:rowOff>
    </xdr:from>
    <xdr:to>
      <xdr:col>17</xdr:col>
      <xdr:colOff>431005</xdr:colOff>
      <xdr:row>28</xdr:row>
      <xdr:rowOff>9525</xdr:rowOff>
    </xdr:to>
    <xdr:graphicFrame macro="">
      <xdr:nvGraphicFramePr>
        <xdr:cNvPr id="2" name="Chart 1">
          <a:extLst>
            <a:ext uri="{FF2B5EF4-FFF2-40B4-BE49-F238E27FC236}">
              <a16:creationId xmlns:a16="http://schemas.microsoft.com/office/drawing/2014/main" id="{4EC56CE6-29C9-41E9-9A64-BDF0B80CC4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495300</xdr:colOff>
      <xdr:row>8</xdr:row>
      <xdr:rowOff>159543</xdr:rowOff>
    </xdr:from>
    <xdr:to>
      <xdr:col>10</xdr:col>
      <xdr:colOff>328613</xdr:colOff>
      <xdr:row>28</xdr:row>
      <xdr:rowOff>0</xdr:rowOff>
    </xdr:to>
    <xdr:graphicFrame macro="">
      <xdr:nvGraphicFramePr>
        <xdr:cNvPr id="3" name="Chart 2">
          <a:extLst>
            <a:ext uri="{FF2B5EF4-FFF2-40B4-BE49-F238E27FC236}">
              <a16:creationId xmlns:a16="http://schemas.microsoft.com/office/drawing/2014/main" id="{928F8EBF-665A-40E3-B011-B7C3BEC4F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477179</xdr:colOff>
      <xdr:row>28</xdr:row>
      <xdr:rowOff>42400</xdr:rowOff>
    </xdr:from>
    <xdr:to>
      <xdr:col>25</xdr:col>
      <xdr:colOff>599959</xdr:colOff>
      <xdr:row>46</xdr:row>
      <xdr:rowOff>18586</xdr:rowOff>
    </xdr:to>
    <xdr:graphicFrame macro="">
      <xdr:nvGraphicFramePr>
        <xdr:cNvPr id="5" name="Chart 4">
          <a:extLst>
            <a:ext uri="{FF2B5EF4-FFF2-40B4-BE49-F238E27FC236}">
              <a16:creationId xmlns:a16="http://schemas.microsoft.com/office/drawing/2014/main" id="{26C36F52-9553-40E9-A1ED-15DE656EF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35757</xdr:colOff>
      <xdr:row>28</xdr:row>
      <xdr:rowOff>157823</xdr:rowOff>
    </xdr:from>
    <xdr:to>
      <xdr:col>15</xdr:col>
      <xdr:colOff>233711</xdr:colOff>
      <xdr:row>45</xdr:row>
      <xdr:rowOff>167824</xdr:rowOff>
    </xdr:to>
    <xdr:graphicFrame macro="">
      <xdr:nvGraphicFramePr>
        <xdr:cNvPr id="6" name="Chart 5">
          <a:extLst>
            <a:ext uri="{FF2B5EF4-FFF2-40B4-BE49-F238E27FC236}">
              <a16:creationId xmlns:a16="http://schemas.microsoft.com/office/drawing/2014/main" id="{AB0226E0-307A-4057-9774-A2B4BB595A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185192</xdr:colOff>
      <xdr:row>46</xdr:row>
      <xdr:rowOff>108062</xdr:rowOff>
    </xdr:from>
    <xdr:to>
      <xdr:col>27</xdr:col>
      <xdr:colOff>117088</xdr:colOff>
      <xdr:row>69</xdr:row>
      <xdr:rowOff>78057</xdr:rowOff>
    </xdr:to>
    <xdr:graphicFrame macro="">
      <xdr:nvGraphicFramePr>
        <xdr:cNvPr id="7" name="Chart 6">
          <a:extLst>
            <a:ext uri="{FF2B5EF4-FFF2-40B4-BE49-F238E27FC236}">
              <a16:creationId xmlns:a16="http://schemas.microsoft.com/office/drawing/2014/main" id="{E6A30CC2-6208-4F73-A50B-9DC49B036A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279125</xdr:colOff>
      <xdr:row>70</xdr:row>
      <xdr:rowOff>30958</xdr:rowOff>
    </xdr:from>
    <xdr:to>
      <xdr:col>13</xdr:col>
      <xdr:colOff>209551</xdr:colOff>
      <xdr:row>93</xdr:row>
      <xdr:rowOff>76200</xdr:rowOff>
    </xdr:to>
    <xdr:graphicFrame macro="">
      <xdr:nvGraphicFramePr>
        <xdr:cNvPr id="8" name="Chart 7">
          <a:extLst>
            <a:ext uri="{FF2B5EF4-FFF2-40B4-BE49-F238E27FC236}">
              <a16:creationId xmlns:a16="http://schemas.microsoft.com/office/drawing/2014/main" id="{5970FD9E-0F31-438F-B337-F6183098D1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302419</xdr:colOff>
      <xdr:row>70</xdr:row>
      <xdr:rowOff>42472</xdr:rowOff>
    </xdr:from>
    <xdr:to>
      <xdr:col>28</xdr:col>
      <xdr:colOff>1</xdr:colOff>
      <xdr:row>111</xdr:row>
      <xdr:rowOff>19049</xdr:rowOff>
    </xdr:to>
    <xdr:graphicFrame macro="">
      <xdr:nvGraphicFramePr>
        <xdr:cNvPr id="9" name="Chart 8">
          <a:extLst>
            <a:ext uri="{FF2B5EF4-FFF2-40B4-BE49-F238E27FC236}">
              <a16:creationId xmlns:a16="http://schemas.microsoft.com/office/drawing/2014/main" id="{4E804BBC-1DCE-42B9-8E12-3246ADED6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545306</xdr:colOff>
      <xdr:row>8</xdr:row>
      <xdr:rowOff>87313</xdr:rowOff>
    </xdr:from>
    <xdr:to>
      <xdr:col>26</xdr:col>
      <xdr:colOff>535444</xdr:colOff>
      <xdr:row>27</xdr:row>
      <xdr:rowOff>132226</xdr:rowOff>
    </xdr:to>
    <xdr:graphicFrame macro="">
      <xdr:nvGraphicFramePr>
        <xdr:cNvPr id="10" name="Chart 9">
          <a:extLst>
            <a:ext uri="{FF2B5EF4-FFF2-40B4-BE49-F238E27FC236}">
              <a16:creationId xmlns:a16="http://schemas.microsoft.com/office/drawing/2014/main" id="{F9D67FD6-B5A2-45AC-921B-A728CA9F6D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536899</xdr:colOff>
      <xdr:row>94</xdr:row>
      <xdr:rowOff>23277</xdr:rowOff>
    </xdr:from>
    <xdr:to>
      <xdr:col>13</xdr:col>
      <xdr:colOff>0</xdr:colOff>
      <xdr:row>112</xdr:row>
      <xdr:rowOff>114300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BBD5ECC1-E5FB-4B1C-BD6E-25E4CEE879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2975299" y="18216027"/>
              <a:ext cx="4949501" cy="352002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27</xdr:col>
      <xdr:colOff>109898</xdr:colOff>
      <xdr:row>8</xdr:row>
      <xdr:rowOff>1447</xdr:rowOff>
    </xdr:from>
    <xdr:to>
      <xdr:col>32</xdr:col>
      <xdr:colOff>320149</xdr:colOff>
      <xdr:row>27</xdr:row>
      <xdr:rowOff>162053</xdr:rowOff>
    </xdr:to>
    <mc:AlternateContent xmlns:mc="http://schemas.openxmlformats.org/markup-compatibility/2006" xmlns:a14="http://schemas.microsoft.com/office/drawing/2010/main">
      <mc:Choice Requires="a14">
        <xdr:graphicFrame macro="">
          <xdr:nvGraphicFramePr>
            <xdr:cNvPr id="12" name="PCOD_Status 1">
              <a:extLst>
                <a:ext uri="{FF2B5EF4-FFF2-40B4-BE49-F238E27FC236}">
                  <a16:creationId xmlns:a16="http://schemas.microsoft.com/office/drawing/2014/main" id="{356B2037-6396-46A0-BA32-E53D8FEC4799}"/>
                </a:ext>
              </a:extLst>
            </xdr:cNvPr>
            <xdr:cNvGraphicFramePr/>
          </xdr:nvGraphicFramePr>
          <xdr:xfrm>
            <a:off x="0" y="0"/>
            <a:ext cx="0" cy="0"/>
          </xdr:xfrm>
          <a:graphic>
            <a:graphicData uri="http://schemas.microsoft.com/office/drawing/2010/slicer">
              <sle:slicer xmlns:sle="http://schemas.microsoft.com/office/drawing/2010/slicer" name="PCOD_Status 1"/>
            </a:graphicData>
          </a:graphic>
        </xdr:graphicFrame>
      </mc:Choice>
      <mc:Fallback xmlns="">
        <xdr:sp macro="" textlink="">
          <xdr:nvSpPr>
            <xdr:cNvPr id="0" name=""/>
            <xdr:cNvSpPr>
              <a:spLocks noTextEdit="1"/>
            </xdr:cNvSpPr>
          </xdr:nvSpPr>
          <xdr:spPr>
            <a:xfrm>
              <a:off x="16683398" y="1604822"/>
              <a:ext cx="3226501" cy="3780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484909</xdr:colOff>
      <xdr:row>112</xdr:row>
      <xdr:rowOff>135298</xdr:rowOff>
    </xdr:from>
    <xdr:to>
      <xdr:col>24</xdr:col>
      <xdr:colOff>432954</xdr:colOff>
      <xdr:row>119</xdr:row>
      <xdr:rowOff>16453</xdr:rowOff>
    </xdr:to>
    <xdr:pic>
      <xdr:nvPicPr>
        <xdr:cNvPr id="13" name="Picture 12">
          <a:extLst>
            <a:ext uri="{FF2B5EF4-FFF2-40B4-BE49-F238E27FC236}">
              <a16:creationId xmlns:a16="http://schemas.microsoft.com/office/drawing/2014/main" id="{0DC9F88E-FBD7-5CB9-E4F9-A3752FD5F0D6}"/>
            </a:ext>
          </a:extLst>
        </xdr:cNvPr>
        <xdr:cNvPicPr>
          <a:picLocks noChangeAspect="1"/>
        </xdr:cNvPicPr>
      </xdr:nvPicPr>
      <xdr:blipFill>
        <a:blip xmlns:r="http://schemas.openxmlformats.org/officeDocument/2006/relationships" r:embed="rId10"/>
        <a:stretch>
          <a:fillRect/>
        </a:stretch>
      </xdr:blipFill>
      <xdr:spPr>
        <a:xfrm>
          <a:off x="5334000" y="21783025"/>
          <a:ext cx="9940636" cy="1214655"/>
        </a:xfrm>
        <a:prstGeom prst="rect">
          <a:avLst/>
        </a:prstGeom>
      </xdr:spPr>
    </xdr:pic>
    <xdr:clientData/>
  </xdr:twoCellAnchor>
  <xdr:twoCellAnchor editAs="oneCell">
    <xdr:from>
      <xdr:col>27</xdr:col>
      <xdr:colOff>427464</xdr:colOff>
      <xdr:row>52</xdr:row>
      <xdr:rowOff>63776</xdr:rowOff>
    </xdr:from>
    <xdr:to>
      <xdr:col>40</xdr:col>
      <xdr:colOff>502754</xdr:colOff>
      <xdr:row>64</xdr:row>
      <xdr:rowOff>111512</xdr:rowOff>
    </xdr:to>
    <xdr:pic>
      <xdr:nvPicPr>
        <xdr:cNvPr id="14" name="Picture 13">
          <a:extLst>
            <a:ext uri="{FF2B5EF4-FFF2-40B4-BE49-F238E27FC236}">
              <a16:creationId xmlns:a16="http://schemas.microsoft.com/office/drawing/2014/main" id="{9C48CBB3-5101-4751-4656-E470A4C689A7}"/>
            </a:ext>
          </a:extLst>
        </xdr:cNvPr>
        <xdr:cNvPicPr>
          <a:picLocks noChangeAspect="1"/>
        </xdr:cNvPicPr>
      </xdr:nvPicPr>
      <xdr:blipFill>
        <a:blip xmlns:r="http://schemas.openxmlformats.org/officeDocument/2006/relationships" r:embed="rId11"/>
        <a:stretch>
          <a:fillRect/>
        </a:stretch>
      </xdr:blipFill>
      <xdr:spPr>
        <a:xfrm>
          <a:off x="17247220" y="10062703"/>
          <a:ext cx="8048412" cy="2277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15246</xdr:colOff>
      <xdr:row>7</xdr:row>
      <xdr:rowOff>156210</xdr:rowOff>
    </xdr:from>
    <xdr:to>
      <xdr:col>4</xdr:col>
      <xdr:colOff>563886</xdr:colOff>
      <xdr:row>22</xdr:row>
      <xdr:rowOff>156210</xdr:rowOff>
    </xdr:to>
    <xdr:graphicFrame macro="">
      <xdr:nvGraphicFramePr>
        <xdr:cNvPr id="2" name="Chart 1">
          <a:extLst>
            <a:ext uri="{FF2B5EF4-FFF2-40B4-BE49-F238E27FC236}">
              <a16:creationId xmlns:a16="http://schemas.microsoft.com/office/drawing/2014/main" id="{162D753E-1039-17BD-F489-4BBE164B3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594366</xdr:colOff>
      <xdr:row>9</xdr:row>
      <xdr:rowOff>87630</xdr:rowOff>
    </xdr:from>
    <xdr:to>
      <xdr:col>12</xdr:col>
      <xdr:colOff>281946</xdr:colOff>
      <xdr:row>24</xdr:row>
      <xdr:rowOff>87630</xdr:rowOff>
    </xdr:to>
    <xdr:graphicFrame macro="">
      <xdr:nvGraphicFramePr>
        <xdr:cNvPr id="3" name="Chart 2">
          <a:extLst>
            <a:ext uri="{FF2B5EF4-FFF2-40B4-BE49-F238E27FC236}">
              <a16:creationId xmlns:a16="http://schemas.microsoft.com/office/drawing/2014/main" id="{3D138DD4-6864-FB07-BCA7-AC68573EE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15246</xdr:colOff>
      <xdr:row>9</xdr:row>
      <xdr:rowOff>80010</xdr:rowOff>
    </xdr:from>
    <xdr:to>
      <xdr:col>5</xdr:col>
      <xdr:colOff>213366</xdr:colOff>
      <xdr:row>24</xdr:row>
      <xdr:rowOff>80010</xdr:rowOff>
    </xdr:to>
    <xdr:graphicFrame macro="">
      <xdr:nvGraphicFramePr>
        <xdr:cNvPr id="2" name="Chart 1">
          <a:extLst>
            <a:ext uri="{FF2B5EF4-FFF2-40B4-BE49-F238E27FC236}">
              <a16:creationId xmlns:a16="http://schemas.microsoft.com/office/drawing/2014/main" id="{B54E8753-3CE4-EC87-0174-4E177B3D9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157661</xdr:colOff>
      <xdr:row>10</xdr:row>
      <xdr:rowOff>108607</xdr:rowOff>
    </xdr:from>
    <xdr:to>
      <xdr:col>11</xdr:col>
      <xdr:colOff>420420</xdr:colOff>
      <xdr:row>25</xdr:row>
      <xdr:rowOff>92841</xdr:rowOff>
    </xdr:to>
    <xdr:graphicFrame macro="">
      <xdr:nvGraphicFramePr>
        <xdr:cNvPr id="3" name="Chart 2">
          <a:extLst>
            <a:ext uri="{FF2B5EF4-FFF2-40B4-BE49-F238E27FC236}">
              <a16:creationId xmlns:a16="http://schemas.microsoft.com/office/drawing/2014/main" id="{863433D6-221E-2004-31F0-5E8711C4D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160026</xdr:colOff>
      <xdr:row>11</xdr:row>
      <xdr:rowOff>110490</xdr:rowOff>
    </xdr:from>
    <xdr:to>
      <xdr:col>6</xdr:col>
      <xdr:colOff>510546</xdr:colOff>
      <xdr:row>26</xdr:row>
      <xdr:rowOff>110490</xdr:rowOff>
    </xdr:to>
    <xdr:graphicFrame macro="">
      <xdr:nvGraphicFramePr>
        <xdr:cNvPr id="2" name="Chart 1">
          <a:extLst>
            <a:ext uri="{FF2B5EF4-FFF2-40B4-BE49-F238E27FC236}">
              <a16:creationId xmlns:a16="http://schemas.microsoft.com/office/drawing/2014/main" id="{78BEE909-0AE0-97C0-87C9-31256E7645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464820</xdr:colOff>
      <xdr:row>1</xdr:row>
      <xdr:rowOff>41910</xdr:rowOff>
    </xdr:from>
    <xdr:to>
      <xdr:col>9</xdr:col>
      <xdr:colOff>289560</xdr:colOff>
      <xdr:row>16</xdr:row>
      <xdr:rowOff>7620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028EAFE-E2B3-E9F3-A494-CCFBE3E8EE7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74420" y="224790"/>
              <a:ext cx="4945380" cy="27089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586740</xdr:colOff>
      <xdr:row>7</xdr:row>
      <xdr:rowOff>114300</xdr:rowOff>
    </xdr:from>
    <xdr:to>
      <xdr:col>5</xdr:col>
      <xdr:colOff>53340</xdr:colOff>
      <xdr:row>19</xdr:row>
      <xdr:rowOff>140970</xdr:rowOff>
    </xdr:to>
    <xdr:graphicFrame macro="">
      <xdr:nvGraphicFramePr>
        <xdr:cNvPr id="2" name="Chart 1">
          <a:extLst>
            <a:ext uri="{FF2B5EF4-FFF2-40B4-BE49-F238E27FC236}">
              <a16:creationId xmlns:a16="http://schemas.microsoft.com/office/drawing/2014/main" id="{269EA2BF-E4C4-C6CD-4666-A24103268F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335280</xdr:colOff>
      <xdr:row>5</xdr:row>
      <xdr:rowOff>125730</xdr:rowOff>
    </xdr:from>
    <xdr:to>
      <xdr:col>10</xdr:col>
      <xdr:colOff>30480</xdr:colOff>
      <xdr:row>20</xdr:row>
      <xdr:rowOff>125730</xdr:rowOff>
    </xdr:to>
    <xdr:graphicFrame macro="">
      <xdr:nvGraphicFramePr>
        <xdr:cNvPr id="2" name="Chart 1">
          <a:extLst>
            <a:ext uri="{FF2B5EF4-FFF2-40B4-BE49-F238E27FC236}">
              <a16:creationId xmlns:a16="http://schemas.microsoft.com/office/drawing/2014/main" id="{E2001ADC-A377-3E0D-2136-F655C4867E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297180</xdr:colOff>
      <xdr:row>1</xdr:row>
      <xdr:rowOff>121920</xdr:rowOff>
    </xdr:from>
    <xdr:to>
      <xdr:col>5</xdr:col>
      <xdr:colOff>297180</xdr:colOff>
      <xdr:row>15</xdr:row>
      <xdr:rowOff>142875</xdr:rowOff>
    </xdr:to>
    <mc:AlternateContent xmlns:mc="http://schemas.openxmlformats.org/markup-compatibility/2006" xmlns:a14="http://schemas.microsoft.com/office/drawing/2010/main">
      <mc:Choice Requires="a14">
        <xdr:graphicFrame macro="">
          <xdr:nvGraphicFramePr>
            <xdr:cNvPr id="2" name="PCOD_Status">
              <a:extLst>
                <a:ext uri="{FF2B5EF4-FFF2-40B4-BE49-F238E27FC236}">
                  <a16:creationId xmlns:a16="http://schemas.microsoft.com/office/drawing/2014/main" id="{B78149F0-31D4-1D95-8AFE-3CD0CDDDC6C4}"/>
                </a:ext>
              </a:extLst>
            </xdr:cNvPr>
            <xdr:cNvGraphicFramePr/>
          </xdr:nvGraphicFramePr>
          <xdr:xfrm>
            <a:off x="0" y="0"/>
            <a:ext cx="0" cy="0"/>
          </xdr:xfrm>
          <a:graphic>
            <a:graphicData uri="http://schemas.microsoft.com/office/drawing/2010/slicer">
              <sle:slicer xmlns:sle="http://schemas.microsoft.com/office/drawing/2010/slicer" name="PCOD_Status"/>
            </a:graphicData>
          </a:graphic>
        </xdr:graphicFrame>
      </mc:Choice>
      <mc:Fallback xmlns="">
        <xdr:sp macro="" textlink="">
          <xdr:nvSpPr>
            <xdr:cNvPr id="0" name=""/>
            <xdr:cNvSpPr>
              <a:spLocks noTextEdit="1"/>
            </xdr:cNvSpPr>
          </xdr:nvSpPr>
          <xdr:spPr>
            <a:xfrm>
              <a:off x="2148840" y="304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179070</xdr:rowOff>
    </xdr:from>
    <xdr:to>
      <xdr:col>6</xdr:col>
      <xdr:colOff>358140</xdr:colOff>
      <xdr:row>22</xdr:row>
      <xdr:rowOff>179070</xdr:rowOff>
    </xdr:to>
    <xdr:graphicFrame macro="">
      <xdr:nvGraphicFramePr>
        <xdr:cNvPr id="2" name="Chart 1">
          <a:extLst>
            <a:ext uri="{FF2B5EF4-FFF2-40B4-BE49-F238E27FC236}">
              <a16:creationId xmlns:a16="http://schemas.microsoft.com/office/drawing/2014/main" id="{EBB089F1-1218-7DB6-C7F4-229DBFFE1D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arl Sethi" refreshedDate="46020.619397106479" createdVersion="8" refreshedVersion="8" minRefreshableVersion="3" recordCount="200" xr:uid="{B855FFC8-1E7C-4B7C-BE65-E6ACBD3BDA59}">
  <cacheSource type="worksheet">
    <worksheetSource ref="A1:N201" sheet="PCOD_Health_Lifestyle"/>
  </cacheSource>
  <cacheFields count="14">
    <cacheField name="User_ID" numFmtId="0">
      <sharedItems containsSemiMixedTypes="0" containsString="0" containsNumber="1" containsInteger="1" minValue="1" maxValue="200"/>
    </cacheField>
    <cacheField name="Age" numFmtId="0">
      <sharedItems containsSemiMixedTypes="0" containsString="0" containsNumber="1" containsInteger="1" minValue="18" maxValue="40"/>
    </cacheField>
    <cacheField name="BMI" numFmtId="0">
      <sharedItems containsSemiMixedTypes="0" containsString="0" containsNumber="1" minValue="18.7" maxValue="34.9"/>
    </cacheField>
    <cacheField name="PCOD_Status" numFmtId="0">
      <sharedItems count="2">
        <s v="No"/>
        <s v="Yes"/>
      </sharedItems>
    </cacheField>
    <cacheField name="Cycle_Regularity" numFmtId="0">
      <sharedItems count="2">
        <s v="Regular"/>
        <s v="Irregular"/>
      </sharedItems>
    </cacheField>
    <cacheField name="Exercise_Min_per_Day" numFmtId="0">
      <sharedItems containsSemiMixedTypes="0" containsString="0" containsNumber="1" containsInteger="1" minValue="0" maxValue="60" count="5">
        <n v="15"/>
        <n v="60"/>
        <n v="30"/>
        <n v="45"/>
        <n v="0"/>
      </sharedItems>
    </cacheField>
    <cacheField name="Diet_Type" numFmtId="0">
      <sharedItems count="3">
        <s v="Veg"/>
        <s v="Non-Veg"/>
        <s v="Mixed"/>
      </sharedItems>
    </cacheField>
    <cacheField name="Sugar_Intake_Level" numFmtId="0">
      <sharedItems count="3">
        <s v="High"/>
        <s v="Low"/>
        <s v="Medium"/>
      </sharedItems>
    </cacheField>
    <cacheField name="Water_Intake_Liters" numFmtId="0">
      <sharedItems containsSemiMixedTypes="0" containsString="0" containsNumber="1" minValue="1.5" maxValue="4"/>
    </cacheField>
    <cacheField name="Sleep_Hours" numFmtId="0">
      <sharedItems containsSemiMixedTypes="0" containsString="0" containsNumber="1" containsInteger="1" minValue="5" maxValue="9"/>
    </cacheField>
    <cacheField name="Stress_Level" numFmtId="0">
      <sharedItems count="3">
        <s v="Low"/>
        <s v="Medium"/>
        <s v="High"/>
      </sharedItems>
    </cacheField>
    <cacheField name="Bloating_Frequency" numFmtId="0">
      <sharedItems count="3">
        <s v="High"/>
        <s v="Low"/>
        <s v="Medium"/>
      </sharedItems>
    </cacheField>
    <cacheField name="Abdominal_Fat_Level" numFmtId="0">
      <sharedItems count="3">
        <s v="Medium"/>
        <s v="Low"/>
        <s v="High"/>
      </sharedItems>
    </cacheField>
    <cacheField name="Hormonal_Medication" numFmtId="0">
      <sharedItems/>
    </cacheField>
  </cacheFields>
  <extLst>
    <ext xmlns:x14="http://schemas.microsoft.com/office/spreadsheetml/2009/9/main" uri="{725AE2AE-9491-48be-B2B4-4EB974FC3084}">
      <x14:pivotCacheDefinition pivotCacheId="2145727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n v="38"/>
    <n v="20.3"/>
    <x v="0"/>
    <x v="0"/>
    <x v="0"/>
    <x v="0"/>
    <x v="0"/>
    <n v="1.8"/>
    <n v="9"/>
    <x v="0"/>
    <x v="0"/>
    <x v="0"/>
    <s v="Yes"/>
  </r>
  <r>
    <n v="2"/>
    <n v="18"/>
    <n v="20"/>
    <x v="1"/>
    <x v="0"/>
    <x v="1"/>
    <x v="0"/>
    <x v="0"/>
    <n v="3.1"/>
    <n v="9"/>
    <x v="1"/>
    <x v="1"/>
    <x v="0"/>
    <s v="No"/>
  </r>
  <r>
    <n v="3"/>
    <n v="18"/>
    <n v="31"/>
    <x v="1"/>
    <x v="1"/>
    <x v="2"/>
    <x v="1"/>
    <x v="1"/>
    <n v="2"/>
    <n v="7"/>
    <x v="0"/>
    <x v="1"/>
    <x v="0"/>
    <s v="Yes"/>
  </r>
  <r>
    <n v="4"/>
    <n v="29"/>
    <n v="32.5"/>
    <x v="0"/>
    <x v="0"/>
    <x v="3"/>
    <x v="2"/>
    <x v="1"/>
    <n v="3.9"/>
    <n v="8"/>
    <x v="0"/>
    <x v="0"/>
    <x v="0"/>
    <s v="No"/>
  </r>
  <r>
    <n v="5"/>
    <n v="36"/>
    <n v="21.7"/>
    <x v="1"/>
    <x v="0"/>
    <x v="0"/>
    <x v="1"/>
    <x v="1"/>
    <n v="3.6"/>
    <n v="5"/>
    <x v="1"/>
    <x v="2"/>
    <x v="0"/>
    <s v="No"/>
  </r>
  <r>
    <n v="6"/>
    <n v="23"/>
    <n v="24.6"/>
    <x v="1"/>
    <x v="1"/>
    <x v="4"/>
    <x v="2"/>
    <x v="0"/>
    <n v="1.9"/>
    <n v="6"/>
    <x v="0"/>
    <x v="2"/>
    <x v="0"/>
    <s v="No"/>
  </r>
  <r>
    <n v="7"/>
    <n v="38"/>
    <n v="29.9"/>
    <x v="1"/>
    <x v="1"/>
    <x v="4"/>
    <x v="0"/>
    <x v="1"/>
    <n v="3.5"/>
    <n v="8"/>
    <x v="1"/>
    <x v="1"/>
    <x v="1"/>
    <s v="No"/>
  </r>
  <r>
    <n v="8"/>
    <n v="24"/>
    <n v="29.3"/>
    <x v="0"/>
    <x v="1"/>
    <x v="0"/>
    <x v="1"/>
    <x v="1"/>
    <n v="2.1"/>
    <n v="9"/>
    <x v="2"/>
    <x v="2"/>
    <x v="2"/>
    <s v="No"/>
  </r>
  <r>
    <n v="9"/>
    <n v="36"/>
    <n v="25.1"/>
    <x v="1"/>
    <x v="0"/>
    <x v="1"/>
    <x v="1"/>
    <x v="1"/>
    <n v="3.4"/>
    <n v="5"/>
    <x v="0"/>
    <x v="0"/>
    <x v="1"/>
    <s v="No"/>
  </r>
  <r>
    <n v="10"/>
    <n v="37"/>
    <n v="19.5"/>
    <x v="0"/>
    <x v="1"/>
    <x v="1"/>
    <x v="1"/>
    <x v="0"/>
    <n v="3.7"/>
    <n v="5"/>
    <x v="2"/>
    <x v="0"/>
    <x v="1"/>
    <s v="No"/>
  </r>
  <r>
    <n v="11"/>
    <n v="38"/>
    <n v="24.1"/>
    <x v="0"/>
    <x v="1"/>
    <x v="0"/>
    <x v="1"/>
    <x v="1"/>
    <n v="3.9"/>
    <n v="7"/>
    <x v="2"/>
    <x v="1"/>
    <x v="2"/>
    <s v="Yes"/>
  </r>
  <r>
    <n v="12"/>
    <n v="38"/>
    <n v="23.4"/>
    <x v="1"/>
    <x v="0"/>
    <x v="2"/>
    <x v="0"/>
    <x v="0"/>
    <n v="3.9"/>
    <n v="9"/>
    <x v="0"/>
    <x v="0"/>
    <x v="0"/>
    <s v="No"/>
  </r>
  <r>
    <n v="13"/>
    <n v="18"/>
    <n v="20.3"/>
    <x v="0"/>
    <x v="1"/>
    <x v="0"/>
    <x v="0"/>
    <x v="1"/>
    <n v="3.7"/>
    <n v="5"/>
    <x v="0"/>
    <x v="0"/>
    <x v="0"/>
    <s v="Yes"/>
  </r>
  <r>
    <n v="14"/>
    <n v="35"/>
    <n v="31.1"/>
    <x v="1"/>
    <x v="1"/>
    <x v="1"/>
    <x v="0"/>
    <x v="2"/>
    <n v="2.8"/>
    <n v="9"/>
    <x v="1"/>
    <x v="1"/>
    <x v="2"/>
    <s v="Yes"/>
  </r>
  <r>
    <n v="15"/>
    <n v="40"/>
    <n v="23.6"/>
    <x v="0"/>
    <x v="1"/>
    <x v="1"/>
    <x v="1"/>
    <x v="1"/>
    <n v="2.1"/>
    <n v="5"/>
    <x v="1"/>
    <x v="1"/>
    <x v="2"/>
    <s v="Yes"/>
  </r>
  <r>
    <n v="16"/>
    <n v="36"/>
    <n v="22.1"/>
    <x v="1"/>
    <x v="0"/>
    <x v="0"/>
    <x v="0"/>
    <x v="1"/>
    <n v="3.6"/>
    <n v="5"/>
    <x v="2"/>
    <x v="1"/>
    <x v="0"/>
    <s v="No"/>
  </r>
  <r>
    <n v="17"/>
    <n v="24"/>
    <n v="27.4"/>
    <x v="0"/>
    <x v="0"/>
    <x v="3"/>
    <x v="1"/>
    <x v="1"/>
    <n v="1.7"/>
    <n v="8"/>
    <x v="1"/>
    <x v="2"/>
    <x v="0"/>
    <s v="No"/>
  </r>
  <r>
    <n v="18"/>
    <n v="19"/>
    <n v="29.6"/>
    <x v="1"/>
    <x v="0"/>
    <x v="3"/>
    <x v="2"/>
    <x v="2"/>
    <n v="3.5"/>
    <n v="5"/>
    <x v="0"/>
    <x v="1"/>
    <x v="1"/>
    <s v="No"/>
  </r>
  <r>
    <n v="19"/>
    <n v="22"/>
    <n v="25.5"/>
    <x v="0"/>
    <x v="1"/>
    <x v="0"/>
    <x v="0"/>
    <x v="2"/>
    <n v="3.5"/>
    <n v="9"/>
    <x v="0"/>
    <x v="1"/>
    <x v="2"/>
    <s v="Yes"/>
  </r>
  <r>
    <n v="20"/>
    <n v="20"/>
    <n v="33.799999999999997"/>
    <x v="1"/>
    <x v="0"/>
    <x v="3"/>
    <x v="1"/>
    <x v="2"/>
    <n v="2"/>
    <n v="8"/>
    <x v="0"/>
    <x v="1"/>
    <x v="0"/>
    <s v="Yes"/>
  </r>
  <r>
    <n v="21"/>
    <n v="30"/>
    <n v="22.9"/>
    <x v="0"/>
    <x v="1"/>
    <x v="3"/>
    <x v="2"/>
    <x v="0"/>
    <n v="4"/>
    <n v="9"/>
    <x v="2"/>
    <x v="0"/>
    <x v="0"/>
    <s v="Yes"/>
  </r>
  <r>
    <n v="22"/>
    <n v="24"/>
    <n v="23.4"/>
    <x v="1"/>
    <x v="0"/>
    <x v="2"/>
    <x v="0"/>
    <x v="1"/>
    <n v="3"/>
    <n v="9"/>
    <x v="2"/>
    <x v="1"/>
    <x v="1"/>
    <s v="Yes"/>
  </r>
  <r>
    <n v="23"/>
    <n v="23"/>
    <n v="19.600000000000001"/>
    <x v="1"/>
    <x v="0"/>
    <x v="3"/>
    <x v="0"/>
    <x v="0"/>
    <n v="2.1"/>
    <n v="9"/>
    <x v="0"/>
    <x v="0"/>
    <x v="1"/>
    <s v="No"/>
  </r>
  <r>
    <n v="24"/>
    <n v="39"/>
    <n v="28.1"/>
    <x v="0"/>
    <x v="1"/>
    <x v="0"/>
    <x v="2"/>
    <x v="0"/>
    <n v="2.2999999999999998"/>
    <n v="7"/>
    <x v="1"/>
    <x v="1"/>
    <x v="2"/>
    <s v="No"/>
  </r>
  <r>
    <n v="25"/>
    <n v="32"/>
    <n v="23.7"/>
    <x v="1"/>
    <x v="0"/>
    <x v="3"/>
    <x v="2"/>
    <x v="0"/>
    <n v="4"/>
    <n v="5"/>
    <x v="2"/>
    <x v="1"/>
    <x v="2"/>
    <s v="No"/>
  </r>
  <r>
    <n v="26"/>
    <n v="22"/>
    <n v="33.9"/>
    <x v="1"/>
    <x v="0"/>
    <x v="2"/>
    <x v="1"/>
    <x v="1"/>
    <n v="2.6"/>
    <n v="9"/>
    <x v="2"/>
    <x v="2"/>
    <x v="2"/>
    <s v="Yes"/>
  </r>
  <r>
    <n v="27"/>
    <n v="39"/>
    <n v="32"/>
    <x v="0"/>
    <x v="0"/>
    <x v="0"/>
    <x v="1"/>
    <x v="1"/>
    <n v="3.7"/>
    <n v="9"/>
    <x v="0"/>
    <x v="2"/>
    <x v="0"/>
    <s v="Yes"/>
  </r>
  <r>
    <n v="28"/>
    <n v="40"/>
    <n v="24.2"/>
    <x v="0"/>
    <x v="1"/>
    <x v="2"/>
    <x v="0"/>
    <x v="1"/>
    <n v="3.1"/>
    <n v="7"/>
    <x v="0"/>
    <x v="1"/>
    <x v="0"/>
    <s v="Yes"/>
  </r>
  <r>
    <n v="29"/>
    <n v="38"/>
    <n v="34.700000000000003"/>
    <x v="1"/>
    <x v="1"/>
    <x v="1"/>
    <x v="2"/>
    <x v="2"/>
    <n v="2.9"/>
    <n v="5"/>
    <x v="0"/>
    <x v="0"/>
    <x v="1"/>
    <s v="Yes"/>
  </r>
  <r>
    <n v="30"/>
    <n v="29"/>
    <n v="28.1"/>
    <x v="1"/>
    <x v="1"/>
    <x v="0"/>
    <x v="0"/>
    <x v="2"/>
    <n v="2.4"/>
    <n v="5"/>
    <x v="1"/>
    <x v="1"/>
    <x v="2"/>
    <s v="Yes"/>
  </r>
  <r>
    <n v="31"/>
    <n v="39"/>
    <n v="20.2"/>
    <x v="0"/>
    <x v="0"/>
    <x v="0"/>
    <x v="0"/>
    <x v="1"/>
    <n v="3.7"/>
    <n v="5"/>
    <x v="0"/>
    <x v="0"/>
    <x v="0"/>
    <s v="No"/>
  </r>
  <r>
    <n v="32"/>
    <n v="39"/>
    <n v="32.799999999999997"/>
    <x v="1"/>
    <x v="1"/>
    <x v="0"/>
    <x v="2"/>
    <x v="1"/>
    <n v="2.5"/>
    <n v="5"/>
    <x v="1"/>
    <x v="1"/>
    <x v="1"/>
    <s v="No"/>
  </r>
  <r>
    <n v="33"/>
    <n v="29"/>
    <n v="23.5"/>
    <x v="1"/>
    <x v="0"/>
    <x v="4"/>
    <x v="2"/>
    <x v="1"/>
    <n v="2.5"/>
    <n v="7"/>
    <x v="0"/>
    <x v="2"/>
    <x v="0"/>
    <s v="No"/>
  </r>
  <r>
    <n v="34"/>
    <n v="39"/>
    <n v="34.700000000000003"/>
    <x v="0"/>
    <x v="0"/>
    <x v="4"/>
    <x v="1"/>
    <x v="1"/>
    <n v="3"/>
    <n v="7"/>
    <x v="0"/>
    <x v="1"/>
    <x v="2"/>
    <s v="No"/>
  </r>
  <r>
    <n v="35"/>
    <n v="29"/>
    <n v="30.5"/>
    <x v="0"/>
    <x v="1"/>
    <x v="1"/>
    <x v="2"/>
    <x v="1"/>
    <n v="2.5"/>
    <n v="9"/>
    <x v="0"/>
    <x v="2"/>
    <x v="1"/>
    <s v="No"/>
  </r>
  <r>
    <n v="36"/>
    <n v="18"/>
    <n v="27.1"/>
    <x v="1"/>
    <x v="1"/>
    <x v="3"/>
    <x v="0"/>
    <x v="0"/>
    <n v="3.8"/>
    <n v="9"/>
    <x v="1"/>
    <x v="0"/>
    <x v="1"/>
    <s v="No"/>
  </r>
  <r>
    <n v="37"/>
    <n v="34"/>
    <n v="23.6"/>
    <x v="0"/>
    <x v="1"/>
    <x v="3"/>
    <x v="2"/>
    <x v="2"/>
    <n v="2.9"/>
    <n v="6"/>
    <x v="1"/>
    <x v="0"/>
    <x v="0"/>
    <s v="Yes"/>
  </r>
  <r>
    <n v="38"/>
    <n v="37"/>
    <n v="27.9"/>
    <x v="0"/>
    <x v="0"/>
    <x v="2"/>
    <x v="1"/>
    <x v="1"/>
    <n v="2.6"/>
    <n v="9"/>
    <x v="2"/>
    <x v="0"/>
    <x v="0"/>
    <s v="No"/>
  </r>
  <r>
    <n v="39"/>
    <n v="32"/>
    <n v="25.8"/>
    <x v="1"/>
    <x v="1"/>
    <x v="0"/>
    <x v="2"/>
    <x v="1"/>
    <n v="2.2000000000000002"/>
    <n v="9"/>
    <x v="1"/>
    <x v="1"/>
    <x v="1"/>
    <s v="No"/>
  </r>
  <r>
    <n v="40"/>
    <n v="25"/>
    <n v="31.8"/>
    <x v="1"/>
    <x v="0"/>
    <x v="4"/>
    <x v="0"/>
    <x v="2"/>
    <n v="3"/>
    <n v="5"/>
    <x v="1"/>
    <x v="2"/>
    <x v="2"/>
    <s v="Yes"/>
  </r>
  <r>
    <n v="41"/>
    <n v="40"/>
    <n v="30"/>
    <x v="0"/>
    <x v="1"/>
    <x v="0"/>
    <x v="0"/>
    <x v="0"/>
    <n v="3.2"/>
    <n v="5"/>
    <x v="1"/>
    <x v="1"/>
    <x v="1"/>
    <s v="No"/>
  </r>
  <r>
    <n v="42"/>
    <n v="19"/>
    <n v="27.7"/>
    <x v="1"/>
    <x v="1"/>
    <x v="0"/>
    <x v="1"/>
    <x v="0"/>
    <n v="2.8"/>
    <n v="9"/>
    <x v="2"/>
    <x v="2"/>
    <x v="0"/>
    <s v="No"/>
  </r>
  <r>
    <n v="43"/>
    <n v="35"/>
    <n v="25.9"/>
    <x v="1"/>
    <x v="1"/>
    <x v="3"/>
    <x v="1"/>
    <x v="1"/>
    <n v="3.6"/>
    <n v="7"/>
    <x v="2"/>
    <x v="2"/>
    <x v="2"/>
    <s v="Yes"/>
  </r>
  <r>
    <n v="44"/>
    <n v="26"/>
    <n v="25.8"/>
    <x v="0"/>
    <x v="0"/>
    <x v="2"/>
    <x v="1"/>
    <x v="2"/>
    <n v="3.7"/>
    <n v="5"/>
    <x v="0"/>
    <x v="1"/>
    <x v="1"/>
    <s v="No"/>
  </r>
  <r>
    <n v="45"/>
    <n v="40"/>
    <n v="21"/>
    <x v="1"/>
    <x v="0"/>
    <x v="3"/>
    <x v="1"/>
    <x v="2"/>
    <n v="2.9"/>
    <n v="8"/>
    <x v="0"/>
    <x v="1"/>
    <x v="0"/>
    <s v="No"/>
  </r>
  <r>
    <n v="46"/>
    <n v="36"/>
    <n v="34.1"/>
    <x v="1"/>
    <x v="1"/>
    <x v="3"/>
    <x v="0"/>
    <x v="2"/>
    <n v="2.2000000000000002"/>
    <n v="8"/>
    <x v="1"/>
    <x v="0"/>
    <x v="2"/>
    <s v="Yes"/>
  </r>
  <r>
    <n v="47"/>
    <n v="33"/>
    <n v="22.1"/>
    <x v="0"/>
    <x v="1"/>
    <x v="4"/>
    <x v="1"/>
    <x v="2"/>
    <n v="3.2"/>
    <n v="8"/>
    <x v="2"/>
    <x v="1"/>
    <x v="0"/>
    <s v="Yes"/>
  </r>
  <r>
    <n v="48"/>
    <n v="37"/>
    <n v="27.3"/>
    <x v="0"/>
    <x v="0"/>
    <x v="4"/>
    <x v="2"/>
    <x v="2"/>
    <n v="1.8"/>
    <n v="8"/>
    <x v="0"/>
    <x v="1"/>
    <x v="0"/>
    <s v="No"/>
  </r>
  <r>
    <n v="49"/>
    <n v="28"/>
    <n v="22"/>
    <x v="0"/>
    <x v="1"/>
    <x v="3"/>
    <x v="1"/>
    <x v="2"/>
    <n v="2.1"/>
    <n v="5"/>
    <x v="1"/>
    <x v="1"/>
    <x v="2"/>
    <s v="Yes"/>
  </r>
  <r>
    <n v="50"/>
    <n v="29"/>
    <n v="22.2"/>
    <x v="1"/>
    <x v="0"/>
    <x v="4"/>
    <x v="0"/>
    <x v="1"/>
    <n v="3.6"/>
    <n v="9"/>
    <x v="0"/>
    <x v="1"/>
    <x v="1"/>
    <s v="No"/>
  </r>
  <r>
    <n v="51"/>
    <n v="39"/>
    <n v="20.399999999999999"/>
    <x v="1"/>
    <x v="1"/>
    <x v="2"/>
    <x v="1"/>
    <x v="1"/>
    <n v="3"/>
    <n v="5"/>
    <x v="0"/>
    <x v="2"/>
    <x v="1"/>
    <s v="Yes"/>
  </r>
  <r>
    <n v="52"/>
    <n v="27"/>
    <n v="28"/>
    <x v="0"/>
    <x v="1"/>
    <x v="0"/>
    <x v="0"/>
    <x v="0"/>
    <n v="3.2"/>
    <n v="6"/>
    <x v="0"/>
    <x v="0"/>
    <x v="0"/>
    <s v="Yes"/>
  </r>
  <r>
    <n v="53"/>
    <n v="36"/>
    <n v="31.4"/>
    <x v="0"/>
    <x v="1"/>
    <x v="2"/>
    <x v="0"/>
    <x v="0"/>
    <n v="3.1"/>
    <n v="5"/>
    <x v="1"/>
    <x v="2"/>
    <x v="1"/>
    <s v="No"/>
  </r>
  <r>
    <n v="54"/>
    <n v="29"/>
    <n v="29"/>
    <x v="0"/>
    <x v="0"/>
    <x v="3"/>
    <x v="0"/>
    <x v="0"/>
    <n v="2.8"/>
    <n v="7"/>
    <x v="2"/>
    <x v="0"/>
    <x v="0"/>
    <s v="No"/>
  </r>
  <r>
    <n v="55"/>
    <n v="31"/>
    <n v="32.1"/>
    <x v="0"/>
    <x v="1"/>
    <x v="0"/>
    <x v="0"/>
    <x v="2"/>
    <n v="3.7"/>
    <n v="6"/>
    <x v="1"/>
    <x v="0"/>
    <x v="2"/>
    <s v="No"/>
  </r>
  <r>
    <n v="56"/>
    <n v="28"/>
    <n v="19"/>
    <x v="0"/>
    <x v="0"/>
    <x v="3"/>
    <x v="0"/>
    <x v="2"/>
    <n v="3.5"/>
    <n v="7"/>
    <x v="1"/>
    <x v="0"/>
    <x v="2"/>
    <s v="No"/>
  </r>
  <r>
    <n v="57"/>
    <n v="35"/>
    <n v="18.7"/>
    <x v="1"/>
    <x v="0"/>
    <x v="0"/>
    <x v="2"/>
    <x v="2"/>
    <n v="2.7"/>
    <n v="6"/>
    <x v="2"/>
    <x v="2"/>
    <x v="2"/>
    <s v="No"/>
  </r>
  <r>
    <n v="58"/>
    <n v="32"/>
    <n v="31.6"/>
    <x v="1"/>
    <x v="1"/>
    <x v="0"/>
    <x v="1"/>
    <x v="0"/>
    <n v="2.1"/>
    <n v="9"/>
    <x v="1"/>
    <x v="2"/>
    <x v="2"/>
    <s v="No"/>
  </r>
  <r>
    <n v="59"/>
    <n v="31"/>
    <n v="34.9"/>
    <x v="0"/>
    <x v="1"/>
    <x v="3"/>
    <x v="1"/>
    <x v="2"/>
    <n v="2.1"/>
    <n v="5"/>
    <x v="2"/>
    <x v="1"/>
    <x v="0"/>
    <s v="Yes"/>
  </r>
  <r>
    <n v="60"/>
    <n v="35"/>
    <n v="34.200000000000003"/>
    <x v="1"/>
    <x v="0"/>
    <x v="0"/>
    <x v="2"/>
    <x v="2"/>
    <n v="2.2000000000000002"/>
    <n v="9"/>
    <x v="2"/>
    <x v="0"/>
    <x v="0"/>
    <s v="Yes"/>
  </r>
  <r>
    <n v="61"/>
    <n v="24"/>
    <n v="23.4"/>
    <x v="0"/>
    <x v="0"/>
    <x v="2"/>
    <x v="0"/>
    <x v="0"/>
    <n v="2.8"/>
    <n v="7"/>
    <x v="0"/>
    <x v="1"/>
    <x v="2"/>
    <s v="No"/>
  </r>
  <r>
    <n v="62"/>
    <n v="40"/>
    <n v="34.1"/>
    <x v="0"/>
    <x v="0"/>
    <x v="4"/>
    <x v="2"/>
    <x v="2"/>
    <n v="2.7"/>
    <n v="8"/>
    <x v="1"/>
    <x v="1"/>
    <x v="1"/>
    <s v="No"/>
  </r>
  <r>
    <n v="63"/>
    <n v="33"/>
    <n v="20.399999999999999"/>
    <x v="1"/>
    <x v="1"/>
    <x v="3"/>
    <x v="0"/>
    <x v="0"/>
    <n v="3.1"/>
    <n v="5"/>
    <x v="0"/>
    <x v="1"/>
    <x v="2"/>
    <s v="No"/>
  </r>
  <r>
    <n v="64"/>
    <n v="20"/>
    <n v="34.9"/>
    <x v="1"/>
    <x v="1"/>
    <x v="1"/>
    <x v="2"/>
    <x v="0"/>
    <n v="2.1"/>
    <n v="9"/>
    <x v="1"/>
    <x v="2"/>
    <x v="0"/>
    <s v="No"/>
  </r>
  <r>
    <n v="65"/>
    <n v="36"/>
    <n v="34.799999999999997"/>
    <x v="0"/>
    <x v="0"/>
    <x v="1"/>
    <x v="2"/>
    <x v="1"/>
    <n v="3.9"/>
    <n v="6"/>
    <x v="2"/>
    <x v="1"/>
    <x v="0"/>
    <s v="Yes"/>
  </r>
  <r>
    <n v="66"/>
    <n v="23"/>
    <n v="22.5"/>
    <x v="1"/>
    <x v="0"/>
    <x v="4"/>
    <x v="1"/>
    <x v="2"/>
    <n v="3.2"/>
    <n v="8"/>
    <x v="1"/>
    <x v="1"/>
    <x v="1"/>
    <s v="No"/>
  </r>
  <r>
    <n v="67"/>
    <n v="40"/>
    <n v="23.2"/>
    <x v="0"/>
    <x v="0"/>
    <x v="0"/>
    <x v="1"/>
    <x v="0"/>
    <n v="3"/>
    <n v="6"/>
    <x v="1"/>
    <x v="1"/>
    <x v="2"/>
    <s v="Yes"/>
  </r>
  <r>
    <n v="68"/>
    <n v="38"/>
    <n v="21"/>
    <x v="0"/>
    <x v="0"/>
    <x v="4"/>
    <x v="0"/>
    <x v="1"/>
    <n v="3.5"/>
    <n v="9"/>
    <x v="2"/>
    <x v="0"/>
    <x v="0"/>
    <s v="No"/>
  </r>
  <r>
    <n v="69"/>
    <n v="21"/>
    <n v="26.2"/>
    <x v="0"/>
    <x v="1"/>
    <x v="2"/>
    <x v="2"/>
    <x v="0"/>
    <n v="2.7"/>
    <n v="5"/>
    <x v="2"/>
    <x v="1"/>
    <x v="0"/>
    <s v="No"/>
  </r>
  <r>
    <n v="70"/>
    <n v="37"/>
    <n v="22.6"/>
    <x v="1"/>
    <x v="0"/>
    <x v="1"/>
    <x v="2"/>
    <x v="1"/>
    <n v="4"/>
    <n v="7"/>
    <x v="2"/>
    <x v="1"/>
    <x v="1"/>
    <s v="No"/>
  </r>
  <r>
    <n v="71"/>
    <n v="34"/>
    <n v="29.2"/>
    <x v="0"/>
    <x v="0"/>
    <x v="1"/>
    <x v="1"/>
    <x v="0"/>
    <n v="3.5"/>
    <n v="5"/>
    <x v="1"/>
    <x v="2"/>
    <x v="0"/>
    <s v="No"/>
  </r>
  <r>
    <n v="72"/>
    <n v="28"/>
    <n v="29.6"/>
    <x v="1"/>
    <x v="1"/>
    <x v="3"/>
    <x v="2"/>
    <x v="2"/>
    <n v="2.2000000000000002"/>
    <n v="8"/>
    <x v="2"/>
    <x v="1"/>
    <x v="0"/>
    <s v="Yes"/>
  </r>
  <r>
    <n v="73"/>
    <n v="28"/>
    <n v="22.7"/>
    <x v="1"/>
    <x v="1"/>
    <x v="1"/>
    <x v="0"/>
    <x v="0"/>
    <n v="3.7"/>
    <n v="8"/>
    <x v="1"/>
    <x v="1"/>
    <x v="1"/>
    <s v="No"/>
  </r>
  <r>
    <n v="74"/>
    <n v="37"/>
    <n v="31"/>
    <x v="0"/>
    <x v="0"/>
    <x v="0"/>
    <x v="1"/>
    <x v="0"/>
    <n v="1.8"/>
    <n v="7"/>
    <x v="1"/>
    <x v="0"/>
    <x v="0"/>
    <s v="Yes"/>
  </r>
  <r>
    <n v="75"/>
    <n v="18"/>
    <n v="34.6"/>
    <x v="1"/>
    <x v="0"/>
    <x v="2"/>
    <x v="2"/>
    <x v="1"/>
    <n v="2.9"/>
    <n v="5"/>
    <x v="0"/>
    <x v="1"/>
    <x v="0"/>
    <s v="Yes"/>
  </r>
  <r>
    <n v="76"/>
    <n v="38"/>
    <n v="32.200000000000003"/>
    <x v="0"/>
    <x v="1"/>
    <x v="1"/>
    <x v="2"/>
    <x v="2"/>
    <n v="2.5"/>
    <n v="8"/>
    <x v="1"/>
    <x v="1"/>
    <x v="0"/>
    <s v="Yes"/>
  </r>
  <r>
    <n v="77"/>
    <n v="30"/>
    <n v="21.6"/>
    <x v="1"/>
    <x v="0"/>
    <x v="2"/>
    <x v="1"/>
    <x v="2"/>
    <n v="3.8"/>
    <n v="9"/>
    <x v="1"/>
    <x v="1"/>
    <x v="0"/>
    <s v="No"/>
  </r>
  <r>
    <n v="78"/>
    <n v="36"/>
    <n v="28.1"/>
    <x v="0"/>
    <x v="0"/>
    <x v="3"/>
    <x v="2"/>
    <x v="2"/>
    <n v="2.4"/>
    <n v="9"/>
    <x v="2"/>
    <x v="2"/>
    <x v="0"/>
    <s v="No"/>
  </r>
  <r>
    <n v="79"/>
    <n v="24"/>
    <n v="34.700000000000003"/>
    <x v="1"/>
    <x v="1"/>
    <x v="0"/>
    <x v="1"/>
    <x v="1"/>
    <n v="2.2999999999999998"/>
    <n v="8"/>
    <x v="2"/>
    <x v="2"/>
    <x v="0"/>
    <s v="Yes"/>
  </r>
  <r>
    <n v="80"/>
    <n v="33"/>
    <n v="34.4"/>
    <x v="1"/>
    <x v="1"/>
    <x v="4"/>
    <x v="1"/>
    <x v="1"/>
    <n v="2.8"/>
    <n v="8"/>
    <x v="0"/>
    <x v="0"/>
    <x v="1"/>
    <s v="No"/>
  </r>
  <r>
    <n v="81"/>
    <n v="38"/>
    <n v="34.5"/>
    <x v="1"/>
    <x v="1"/>
    <x v="2"/>
    <x v="1"/>
    <x v="0"/>
    <n v="3.2"/>
    <n v="5"/>
    <x v="1"/>
    <x v="0"/>
    <x v="2"/>
    <s v="No"/>
  </r>
  <r>
    <n v="82"/>
    <n v="28"/>
    <n v="28.8"/>
    <x v="0"/>
    <x v="0"/>
    <x v="1"/>
    <x v="0"/>
    <x v="1"/>
    <n v="3.1"/>
    <n v="7"/>
    <x v="0"/>
    <x v="0"/>
    <x v="1"/>
    <s v="No"/>
  </r>
  <r>
    <n v="83"/>
    <n v="21"/>
    <n v="31"/>
    <x v="1"/>
    <x v="1"/>
    <x v="0"/>
    <x v="2"/>
    <x v="2"/>
    <n v="3.8"/>
    <n v="5"/>
    <x v="1"/>
    <x v="1"/>
    <x v="0"/>
    <s v="No"/>
  </r>
  <r>
    <n v="84"/>
    <n v="29"/>
    <n v="25.6"/>
    <x v="1"/>
    <x v="1"/>
    <x v="1"/>
    <x v="2"/>
    <x v="1"/>
    <n v="1.9"/>
    <n v="5"/>
    <x v="2"/>
    <x v="2"/>
    <x v="2"/>
    <s v="Yes"/>
  </r>
  <r>
    <n v="85"/>
    <n v="33"/>
    <n v="33.6"/>
    <x v="1"/>
    <x v="0"/>
    <x v="3"/>
    <x v="2"/>
    <x v="2"/>
    <n v="2.6"/>
    <n v="5"/>
    <x v="1"/>
    <x v="2"/>
    <x v="2"/>
    <s v="Yes"/>
  </r>
  <r>
    <n v="86"/>
    <n v="20"/>
    <n v="25.8"/>
    <x v="0"/>
    <x v="1"/>
    <x v="3"/>
    <x v="2"/>
    <x v="2"/>
    <n v="2.6"/>
    <n v="7"/>
    <x v="0"/>
    <x v="2"/>
    <x v="0"/>
    <s v="Yes"/>
  </r>
  <r>
    <n v="87"/>
    <n v="25"/>
    <n v="24.8"/>
    <x v="0"/>
    <x v="1"/>
    <x v="2"/>
    <x v="0"/>
    <x v="0"/>
    <n v="2.5"/>
    <n v="5"/>
    <x v="2"/>
    <x v="0"/>
    <x v="2"/>
    <s v="Yes"/>
  </r>
  <r>
    <n v="88"/>
    <n v="37"/>
    <n v="30.8"/>
    <x v="0"/>
    <x v="0"/>
    <x v="1"/>
    <x v="1"/>
    <x v="1"/>
    <n v="3.1"/>
    <n v="9"/>
    <x v="1"/>
    <x v="0"/>
    <x v="2"/>
    <s v="Yes"/>
  </r>
  <r>
    <n v="89"/>
    <n v="38"/>
    <n v="20.100000000000001"/>
    <x v="1"/>
    <x v="1"/>
    <x v="3"/>
    <x v="0"/>
    <x v="0"/>
    <n v="2.4"/>
    <n v="6"/>
    <x v="0"/>
    <x v="2"/>
    <x v="0"/>
    <s v="No"/>
  </r>
  <r>
    <n v="90"/>
    <n v="23"/>
    <n v="21.8"/>
    <x v="0"/>
    <x v="1"/>
    <x v="0"/>
    <x v="1"/>
    <x v="2"/>
    <n v="3.9"/>
    <n v="7"/>
    <x v="2"/>
    <x v="2"/>
    <x v="1"/>
    <s v="No"/>
  </r>
  <r>
    <n v="91"/>
    <n v="20"/>
    <n v="20.8"/>
    <x v="1"/>
    <x v="1"/>
    <x v="1"/>
    <x v="1"/>
    <x v="1"/>
    <n v="3.5"/>
    <n v="5"/>
    <x v="1"/>
    <x v="0"/>
    <x v="1"/>
    <s v="No"/>
  </r>
  <r>
    <n v="92"/>
    <n v="29"/>
    <n v="29.6"/>
    <x v="0"/>
    <x v="1"/>
    <x v="2"/>
    <x v="0"/>
    <x v="0"/>
    <n v="2.1"/>
    <n v="5"/>
    <x v="2"/>
    <x v="0"/>
    <x v="0"/>
    <s v="Yes"/>
  </r>
  <r>
    <n v="93"/>
    <n v="38"/>
    <n v="19.5"/>
    <x v="0"/>
    <x v="1"/>
    <x v="3"/>
    <x v="0"/>
    <x v="1"/>
    <n v="1.6"/>
    <n v="5"/>
    <x v="1"/>
    <x v="2"/>
    <x v="1"/>
    <s v="Yes"/>
  </r>
  <r>
    <n v="94"/>
    <n v="25"/>
    <n v="33.1"/>
    <x v="1"/>
    <x v="1"/>
    <x v="3"/>
    <x v="1"/>
    <x v="0"/>
    <n v="3.9"/>
    <n v="9"/>
    <x v="1"/>
    <x v="0"/>
    <x v="2"/>
    <s v="Yes"/>
  </r>
  <r>
    <n v="95"/>
    <n v="31"/>
    <n v="29.3"/>
    <x v="0"/>
    <x v="1"/>
    <x v="2"/>
    <x v="0"/>
    <x v="0"/>
    <n v="2.4"/>
    <n v="8"/>
    <x v="1"/>
    <x v="1"/>
    <x v="0"/>
    <s v="Yes"/>
  </r>
  <r>
    <n v="96"/>
    <n v="39"/>
    <n v="24.6"/>
    <x v="0"/>
    <x v="0"/>
    <x v="3"/>
    <x v="1"/>
    <x v="1"/>
    <n v="3.9"/>
    <n v="8"/>
    <x v="0"/>
    <x v="0"/>
    <x v="1"/>
    <s v="Yes"/>
  </r>
  <r>
    <n v="97"/>
    <n v="19"/>
    <n v="31.5"/>
    <x v="1"/>
    <x v="0"/>
    <x v="1"/>
    <x v="0"/>
    <x v="1"/>
    <n v="3.6"/>
    <n v="9"/>
    <x v="0"/>
    <x v="0"/>
    <x v="1"/>
    <s v="Yes"/>
  </r>
  <r>
    <n v="98"/>
    <n v="28"/>
    <n v="31.3"/>
    <x v="1"/>
    <x v="1"/>
    <x v="0"/>
    <x v="0"/>
    <x v="0"/>
    <n v="2.1"/>
    <n v="6"/>
    <x v="0"/>
    <x v="0"/>
    <x v="1"/>
    <s v="Yes"/>
  </r>
  <r>
    <n v="99"/>
    <n v="18"/>
    <n v="24.4"/>
    <x v="1"/>
    <x v="1"/>
    <x v="4"/>
    <x v="0"/>
    <x v="2"/>
    <n v="1.6"/>
    <n v="8"/>
    <x v="2"/>
    <x v="1"/>
    <x v="2"/>
    <s v="Yes"/>
  </r>
  <r>
    <n v="100"/>
    <n v="33"/>
    <n v="25.9"/>
    <x v="0"/>
    <x v="0"/>
    <x v="3"/>
    <x v="2"/>
    <x v="1"/>
    <n v="3.9"/>
    <n v="5"/>
    <x v="2"/>
    <x v="0"/>
    <x v="2"/>
    <s v="No"/>
  </r>
  <r>
    <n v="101"/>
    <n v="32"/>
    <n v="29.1"/>
    <x v="1"/>
    <x v="0"/>
    <x v="3"/>
    <x v="1"/>
    <x v="2"/>
    <n v="3.2"/>
    <n v="8"/>
    <x v="2"/>
    <x v="2"/>
    <x v="1"/>
    <s v="Yes"/>
  </r>
  <r>
    <n v="102"/>
    <n v="28"/>
    <n v="28.5"/>
    <x v="1"/>
    <x v="0"/>
    <x v="2"/>
    <x v="2"/>
    <x v="0"/>
    <n v="3"/>
    <n v="7"/>
    <x v="1"/>
    <x v="0"/>
    <x v="2"/>
    <s v="No"/>
  </r>
  <r>
    <n v="103"/>
    <n v="32"/>
    <n v="26.8"/>
    <x v="0"/>
    <x v="0"/>
    <x v="4"/>
    <x v="2"/>
    <x v="0"/>
    <n v="3.7"/>
    <n v="9"/>
    <x v="2"/>
    <x v="1"/>
    <x v="0"/>
    <s v="No"/>
  </r>
  <r>
    <n v="104"/>
    <n v="25"/>
    <n v="25.3"/>
    <x v="0"/>
    <x v="1"/>
    <x v="3"/>
    <x v="2"/>
    <x v="1"/>
    <n v="2.2999999999999998"/>
    <n v="7"/>
    <x v="2"/>
    <x v="2"/>
    <x v="0"/>
    <s v="Yes"/>
  </r>
  <r>
    <n v="105"/>
    <n v="39"/>
    <n v="33.700000000000003"/>
    <x v="1"/>
    <x v="0"/>
    <x v="4"/>
    <x v="0"/>
    <x v="2"/>
    <n v="1.7"/>
    <n v="7"/>
    <x v="0"/>
    <x v="0"/>
    <x v="1"/>
    <s v="No"/>
  </r>
  <r>
    <n v="106"/>
    <n v="39"/>
    <n v="20.5"/>
    <x v="0"/>
    <x v="1"/>
    <x v="4"/>
    <x v="1"/>
    <x v="0"/>
    <n v="2.2999999999999998"/>
    <n v="5"/>
    <x v="2"/>
    <x v="0"/>
    <x v="1"/>
    <s v="Yes"/>
  </r>
  <r>
    <n v="107"/>
    <n v="39"/>
    <n v="26.5"/>
    <x v="1"/>
    <x v="1"/>
    <x v="1"/>
    <x v="1"/>
    <x v="1"/>
    <n v="3.4"/>
    <n v="9"/>
    <x v="0"/>
    <x v="2"/>
    <x v="2"/>
    <s v="Yes"/>
  </r>
  <r>
    <n v="108"/>
    <n v="37"/>
    <n v="33.799999999999997"/>
    <x v="0"/>
    <x v="0"/>
    <x v="0"/>
    <x v="1"/>
    <x v="0"/>
    <n v="3.4"/>
    <n v="7"/>
    <x v="1"/>
    <x v="1"/>
    <x v="1"/>
    <s v="Yes"/>
  </r>
  <r>
    <n v="109"/>
    <n v="36"/>
    <n v="29.3"/>
    <x v="1"/>
    <x v="0"/>
    <x v="4"/>
    <x v="0"/>
    <x v="0"/>
    <n v="2.8"/>
    <n v="8"/>
    <x v="1"/>
    <x v="2"/>
    <x v="0"/>
    <s v="Yes"/>
  </r>
  <r>
    <n v="110"/>
    <n v="29"/>
    <n v="23.6"/>
    <x v="0"/>
    <x v="0"/>
    <x v="4"/>
    <x v="0"/>
    <x v="1"/>
    <n v="3.4"/>
    <n v="5"/>
    <x v="2"/>
    <x v="1"/>
    <x v="0"/>
    <s v="No"/>
  </r>
  <r>
    <n v="111"/>
    <n v="39"/>
    <n v="25.5"/>
    <x v="0"/>
    <x v="1"/>
    <x v="2"/>
    <x v="0"/>
    <x v="0"/>
    <n v="1.8"/>
    <n v="8"/>
    <x v="0"/>
    <x v="2"/>
    <x v="2"/>
    <s v="No"/>
  </r>
  <r>
    <n v="112"/>
    <n v="34"/>
    <n v="29.5"/>
    <x v="1"/>
    <x v="0"/>
    <x v="3"/>
    <x v="2"/>
    <x v="1"/>
    <n v="1.5"/>
    <n v="7"/>
    <x v="0"/>
    <x v="1"/>
    <x v="0"/>
    <s v="No"/>
  </r>
  <r>
    <n v="113"/>
    <n v="28"/>
    <n v="20.5"/>
    <x v="0"/>
    <x v="1"/>
    <x v="0"/>
    <x v="0"/>
    <x v="2"/>
    <n v="2.8"/>
    <n v="6"/>
    <x v="2"/>
    <x v="0"/>
    <x v="2"/>
    <s v="No"/>
  </r>
  <r>
    <n v="114"/>
    <n v="20"/>
    <n v="25.1"/>
    <x v="1"/>
    <x v="1"/>
    <x v="4"/>
    <x v="1"/>
    <x v="1"/>
    <n v="3.7"/>
    <n v="9"/>
    <x v="1"/>
    <x v="0"/>
    <x v="0"/>
    <s v="No"/>
  </r>
  <r>
    <n v="115"/>
    <n v="27"/>
    <n v="20.399999999999999"/>
    <x v="1"/>
    <x v="1"/>
    <x v="0"/>
    <x v="2"/>
    <x v="2"/>
    <n v="3.6"/>
    <n v="7"/>
    <x v="0"/>
    <x v="2"/>
    <x v="1"/>
    <s v="Yes"/>
  </r>
  <r>
    <n v="116"/>
    <n v="31"/>
    <n v="28.2"/>
    <x v="1"/>
    <x v="1"/>
    <x v="2"/>
    <x v="2"/>
    <x v="2"/>
    <n v="2.1"/>
    <n v="6"/>
    <x v="0"/>
    <x v="0"/>
    <x v="2"/>
    <s v="Yes"/>
  </r>
  <r>
    <n v="117"/>
    <n v="34"/>
    <n v="26.9"/>
    <x v="0"/>
    <x v="1"/>
    <x v="0"/>
    <x v="0"/>
    <x v="1"/>
    <n v="1.9"/>
    <n v="6"/>
    <x v="0"/>
    <x v="0"/>
    <x v="1"/>
    <s v="Yes"/>
  </r>
  <r>
    <n v="118"/>
    <n v="23"/>
    <n v="34.200000000000003"/>
    <x v="0"/>
    <x v="1"/>
    <x v="1"/>
    <x v="2"/>
    <x v="2"/>
    <n v="3.2"/>
    <n v="9"/>
    <x v="2"/>
    <x v="0"/>
    <x v="2"/>
    <s v="No"/>
  </r>
  <r>
    <n v="119"/>
    <n v="38"/>
    <n v="23.7"/>
    <x v="0"/>
    <x v="0"/>
    <x v="3"/>
    <x v="1"/>
    <x v="0"/>
    <n v="2.2999999999999998"/>
    <n v="7"/>
    <x v="2"/>
    <x v="1"/>
    <x v="0"/>
    <s v="Yes"/>
  </r>
  <r>
    <n v="120"/>
    <n v="27"/>
    <n v="26.1"/>
    <x v="1"/>
    <x v="0"/>
    <x v="2"/>
    <x v="1"/>
    <x v="1"/>
    <n v="3.1"/>
    <n v="5"/>
    <x v="2"/>
    <x v="0"/>
    <x v="2"/>
    <s v="No"/>
  </r>
  <r>
    <n v="121"/>
    <n v="32"/>
    <n v="28.1"/>
    <x v="1"/>
    <x v="1"/>
    <x v="1"/>
    <x v="2"/>
    <x v="1"/>
    <n v="2.2999999999999998"/>
    <n v="8"/>
    <x v="2"/>
    <x v="1"/>
    <x v="1"/>
    <s v="No"/>
  </r>
  <r>
    <n v="122"/>
    <n v="21"/>
    <n v="31.9"/>
    <x v="0"/>
    <x v="0"/>
    <x v="1"/>
    <x v="2"/>
    <x v="1"/>
    <n v="1.6"/>
    <n v="8"/>
    <x v="1"/>
    <x v="0"/>
    <x v="2"/>
    <s v="Yes"/>
  </r>
  <r>
    <n v="123"/>
    <n v="29"/>
    <n v="24.7"/>
    <x v="0"/>
    <x v="1"/>
    <x v="3"/>
    <x v="1"/>
    <x v="0"/>
    <n v="3"/>
    <n v="7"/>
    <x v="0"/>
    <x v="2"/>
    <x v="1"/>
    <s v="No"/>
  </r>
  <r>
    <n v="124"/>
    <n v="27"/>
    <n v="22.7"/>
    <x v="1"/>
    <x v="1"/>
    <x v="4"/>
    <x v="2"/>
    <x v="0"/>
    <n v="1.9"/>
    <n v="7"/>
    <x v="1"/>
    <x v="0"/>
    <x v="2"/>
    <s v="No"/>
  </r>
  <r>
    <n v="125"/>
    <n v="22"/>
    <n v="28.3"/>
    <x v="1"/>
    <x v="1"/>
    <x v="1"/>
    <x v="1"/>
    <x v="0"/>
    <n v="3.5"/>
    <n v="6"/>
    <x v="2"/>
    <x v="0"/>
    <x v="2"/>
    <s v="Yes"/>
  </r>
  <r>
    <n v="126"/>
    <n v="38"/>
    <n v="29.6"/>
    <x v="0"/>
    <x v="0"/>
    <x v="2"/>
    <x v="1"/>
    <x v="1"/>
    <n v="3.9"/>
    <n v="7"/>
    <x v="1"/>
    <x v="1"/>
    <x v="1"/>
    <s v="Yes"/>
  </r>
  <r>
    <n v="127"/>
    <n v="22"/>
    <n v="19.8"/>
    <x v="1"/>
    <x v="0"/>
    <x v="2"/>
    <x v="2"/>
    <x v="1"/>
    <n v="3"/>
    <n v="6"/>
    <x v="0"/>
    <x v="1"/>
    <x v="2"/>
    <s v="Yes"/>
  </r>
  <r>
    <n v="128"/>
    <n v="32"/>
    <n v="19.2"/>
    <x v="0"/>
    <x v="0"/>
    <x v="3"/>
    <x v="2"/>
    <x v="2"/>
    <n v="3.4"/>
    <n v="8"/>
    <x v="0"/>
    <x v="0"/>
    <x v="1"/>
    <s v="No"/>
  </r>
  <r>
    <n v="129"/>
    <n v="33"/>
    <n v="33.4"/>
    <x v="1"/>
    <x v="1"/>
    <x v="1"/>
    <x v="1"/>
    <x v="2"/>
    <n v="3.4"/>
    <n v="8"/>
    <x v="2"/>
    <x v="0"/>
    <x v="0"/>
    <s v="Yes"/>
  </r>
  <r>
    <n v="130"/>
    <n v="24"/>
    <n v="31.7"/>
    <x v="1"/>
    <x v="1"/>
    <x v="4"/>
    <x v="2"/>
    <x v="2"/>
    <n v="3.7"/>
    <n v="9"/>
    <x v="0"/>
    <x v="0"/>
    <x v="2"/>
    <s v="Yes"/>
  </r>
  <r>
    <n v="131"/>
    <n v="27"/>
    <n v="19.899999999999999"/>
    <x v="1"/>
    <x v="1"/>
    <x v="3"/>
    <x v="2"/>
    <x v="1"/>
    <n v="3.6"/>
    <n v="5"/>
    <x v="0"/>
    <x v="2"/>
    <x v="0"/>
    <s v="Yes"/>
  </r>
  <r>
    <n v="132"/>
    <n v="31"/>
    <n v="19.399999999999999"/>
    <x v="0"/>
    <x v="0"/>
    <x v="3"/>
    <x v="0"/>
    <x v="2"/>
    <n v="2.1"/>
    <n v="7"/>
    <x v="0"/>
    <x v="0"/>
    <x v="2"/>
    <s v="No"/>
  </r>
  <r>
    <n v="133"/>
    <n v="22"/>
    <n v="20.8"/>
    <x v="0"/>
    <x v="1"/>
    <x v="0"/>
    <x v="2"/>
    <x v="2"/>
    <n v="2.6"/>
    <n v="5"/>
    <x v="0"/>
    <x v="1"/>
    <x v="0"/>
    <s v="Yes"/>
  </r>
  <r>
    <n v="134"/>
    <n v="22"/>
    <n v="27.6"/>
    <x v="0"/>
    <x v="0"/>
    <x v="2"/>
    <x v="0"/>
    <x v="2"/>
    <n v="1.8"/>
    <n v="6"/>
    <x v="1"/>
    <x v="0"/>
    <x v="2"/>
    <s v="No"/>
  </r>
  <r>
    <n v="135"/>
    <n v="20"/>
    <n v="20.3"/>
    <x v="0"/>
    <x v="0"/>
    <x v="1"/>
    <x v="2"/>
    <x v="1"/>
    <n v="3.3"/>
    <n v="7"/>
    <x v="1"/>
    <x v="1"/>
    <x v="2"/>
    <s v="No"/>
  </r>
  <r>
    <n v="136"/>
    <n v="25"/>
    <n v="27.9"/>
    <x v="1"/>
    <x v="0"/>
    <x v="1"/>
    <x v="1"/>
    <x v="1"/>
    <n v="3.9"/>
    <n v="9"/>
    <x v="2"/>
    <x v="0"/>
    <x v="2"/>
    <s v="Yes"/>
  </r>
  <r>
    <n v="137"/>
    <n v="30"/>
    <n v="32.9"/>
    <x v="1"/>
    <x v="1"/>
    <x v="2"/>
    <x v="1"/>
    <x v="0"/>
    <n v="1.5"/>
    <n v="5"/>
    <x v="1"/>
    <x v="1"/>
    <x v="2"/>
    <s v="Yes"/>
  </r>
  <r>
    <n v="138"/>
    <n v="36"/>
    <n v="30.6"/>
    <x v="0"/>
    <x v="0"/>
    <x v="4"/>
    <x v="1"/>
    <x v="0"/>
    <n v="2.2999999999999998"/>
    <n v="6"/>
    <x v="2"/>
    <x v="2"/>
    <x v="2"/>
    <s v="No"/>
  </r>
  <r>
    <n v="139"/>
    <n v="38"/>
    <n v="21.5"/>
    <x v="1"/>
    <x v="0"/>
    <x v="3"/>
    <x v="0"/>
    <x v="2"/>
    <n v="2"/>
    <n v="6"/>
    <x v="0"/>
    <x v="2"/>
    <x v="0"/>
    <s v="No"/>
  </r>
  <r>
    <n v="140"/>
    <n v="35"/>
    <n v="26.3"/>
    <x v="1"/>
    <x v="0"/>
    <x v="2"/>
    <x v="1"/>
    <x v="1"/>
    <n v="3.7"/>
    <n v="7"/>
    <x v="1"/>
    <x v="1"/>
    <x v="0"/>
    <s v="No"/>
  </r>
  <r>
    <n v="141"/>
    <n v="30"/>
    <n v="30.8"/>
    <x v="0"/>
    <x v="1"/>
    <x v="0"/>
    <x v="1"/>
    <x v="0"/>
    <n v="2.7"/>
    <n v="9"/>
    <x v="1"/>
    <x v="1"/>
    <x v="2"/>
    <s v="No"/>
  </r>
  <r>
    <n v="142"/>
    <n v="20"/>
    <n v="25.6"/>
    <x v="1"/>
    <x v="1"/>
    <x v="2"/>
    <x v="0"/>
    <x v="1"/>
    <n v="2.2999999999999998"/>
    <n v="7"/>
    <x v="1"/>
    <x v="2"/>
    <x v="2"/>
    <s v="No"/>
  </r>
  <r>
    <n v="143"/>
    <n v="23"/>
    <n v="29.9"/>
    <x v="0"/>
    <x v="1"/>
    <x v="4"/>
    <x v="2"/>
    <x v="2"/>
    <n v="3"/>
    <n v="8"/>
    <x v="1"/>
    <x v="0"/>
    <x v="1"/>
    <s v="Yes"/>
  </r>
  <r>
    <n v="144"/>
    <n v="39"/>
    <n v="29"/>
    <x v="0"/>
    <x v="0"/>
    <x v="4"/>
    <x v="0"/>
    <x v="0"/>
    <n v="3.2"/>
    <n v="8"/>
    <x v="0"/>
    <x v="1"/>
    <x v="1"/>
    <s v="Yes"/>
  </r>
  <r>
    <n v="145"/>
    <n v="38"/>
    <n v="24.5"/>
    <x v="0"/>
    <x v="0"/>
    <x v="1"/>
    <x v="0"/>
    <x v="0"/>
    <n v="2.6"/>
    <n v="7"/>
    <x v="1"/>
    <x v="2"/>
    <x v="1"/>
    <s v="Yes"/>
  </r>
  <r>
    <n v="146"/>
    <n v="34"/>
    <n v="24.6"/>
    <x v="0"/>
    <x v="1"/>
    <x v="0"/>
    <x v="0"/>
    <x v="1"/>
    <n v="3.3"/>
    <n v="8"/>
    <x v="2"/>
    <x v="2"/>
    <x v="2"/>
    <s v="Yes"/>
  </r>
  <r>
    <n v="147"/>
    <n v="26"/>
    <n v="31.3"/>
    <x v="0"/>
    <x v="0"/>
    <x v="1"/>
    <x v="1"/>
    <x v="0"/>
    <n v="3.8"/>
    <n v="8"/>
    <x v="0"/>
    <x v="1"/>
    <x v="1"/>
    <s v="Yes"/>
  </r>
  <r>
    <n v="148"/>
    <n v="32"/>
    <n v="21.3"/>
    <x v="0"/>
    <x v="0"/>
    <x v="2"/>
    <x v="2"/>
    <x v="2"/>
    <n v="3.3"/>
    <n v="9"/>
    <x v="2"/>
    <x v="2"/>
    <x v="0"/>
    <s v="Yes"/>
  </r>
  <r>
    <n v="149"/>
    <n v="40"/>
    <n v="30.2"/>
    <x v="1"/>
    <x v="1"/>
    <x v="1"/>
    <x v="0"/>
    <x v="1"/>
    <n v="4"/>
    <n v="6"/>
    <x v="0"/>
    <x v="2"/>
    <x v="1"/>
    <s v="No"/>
  </r>
  <r>
    <n v="150"/>
    <n v="35"/>
    <n v="27.9"/>
    <x v="0"/>
    <x v="0"/>
    <x v="1"/>
    <x v="0"/>
    <x v="1"/>
    <n v="2.2999999999999998"/>
    <n v="8"/>
    <x v="2"/>
    <x v="2"/>
    <x v="0"/>
    <s v="Yes"/>
  </r>
  <r>
    <n v="151"/>
    <n v="22"/>
    <n v="34.5"/>
    <x v="1"/>
    <x v="1"/>
    <x v="3"/>
    <x v="2"/>
    <x v="0"/>
    <n v="2.4"/>
    <n v="9"/>
    <x v="2"/>
    <x v="0"/>
    <x v="1"/>
    <s v="Yes"/>
  </r>
  <r>
    <n v="152"/>
    <n v="31"/>
    <n v="26.8"/>
    <x v="1"/>
    <x v="0"/>
    <x v="1"/>
    <x v="0"/>
    <x v="2"/>
    <n v="1.9"/>
    <n v="7"/>
    <x v="2"/>
    <x v="1"/>
    <x v="0"/>
    <s v="No"/>
  </r>
  <r>
    <n v="153"/>
    <n v="20"/>
    <n v="22.6"/>
    <x v="0"/>
    <x v="0"/>
    <x v="2"/>
    <x v="2"/>
    <x v="0"/>
    <n v="1.7"/>
    <n v="6"/>
    <x v="2"/>
    <x v="0"/>
    <x v="1"/>
    <s v="Yes"/>
  </r>
  <r>
    <n v="154"/>
    <n v="39"/>
    <n v="28.8"/>
    <x v="0"/>
    <x v="0"/>
    <x v="4"/>
    <x v="0"/>
    <x v="1"/>
    <n v="3.9"/>
    <n v="9"/>
    <x v="1"/>
    <x v="0"/>
    <x v="1"/>
    <s v="No"/>
  </r>
  <r>
    <n v="155"/>
    <n v="37"/>
    <n v="29"/>
    <x v="0"/>
    <x v="1"/>
    <x v="2"/>
    <x v="1"/>
    <x v="1"/>
    <n v="3.5"/>
    <n v="8"/>
    <x v="1"/>
    <x v="2"/>
    <x v="1"/>
    <s v="Yes"/>
  </r>
  <r>
    <n v="156"/>
    <n v="23"/>
    <n v="25.8"/>
    <x v="0"/>
    <x v="1"/>
    <x v="0"/>
    <x v="1"/>
    <x v="0"/>
    <n v="1.9"/>
    <n v="7"/>
    <x v="2"/>
    <x v="2"/>
    <x v="0"/>
    <s v="Yes"/>
  </r>
  <r>
    <n v="157"/>
    <n v="29"/>
    <n v="27"/>
    <x v="1"/>
    <x v="1"/>
    <x v="0"/>
    <x v="1"/>
    <x v="1"/>
    <n v="2.2000000000000002"/>
    <n v="6"/>
    <x v="0"/>
    <x v="1"/>
    <x v="1"/>
    <s v="No"/>
  </r>
  <r>
    <n v="158"/>
    <n v="30"/>
    <n v="32.799999999999997"/>
    <x v="0"/>
    <x v="0"/>
    <x v="0"/>
    <x v="1"/>
    <x v="0"/>
    <n v="3.3"/>
    <n v="6"/>
    <x v="0"/>
    <x v="2"/>
    <x v="2"/>
    <s v="No"/>
  </r>
  <r>
    <n v="159"/>
    <n v="33"/>
    <n v="33"/>
    <x v="0"/>
    <x v="0"/>
    <x v="4"/>
    <x v="1"/>
    <x v="0"/>
    <n v="2.6"/>
    <n v="6"/>
    <x v="0"/>
    <x v="0"/>
    <x v="0"/>
    <s v="Yes"/>
  </r>
  <r>
    <n v="160"/>
    <n v="19"/>
    <n v="23.1"/>
    <x v="0"/>
    <x v="1"/>
    <x v="1"/>
    <x v="0"/>
    <x v="1"/>
    <n v="2.6"/>
    <n v="7"/>
    <x v="2"/>
    <x v="2"/>
    <x v="0"/>
    <s v="No"/>
  </r>
  <r>
    <n v="161"/>
    <n v="19"/>
    <n v="25.1"/>
    <x v="1"/>
    <x v="1"/>
    <x v="1"/>
    <x v="1"/>
    <x v="1"/>
    <n v="2.5"/>
    <n v="8"/>
    <x v="2"/>
    <x v="2"/>
    <x v="2"/>
    <s v="Yes"/>
  </r>
  <r>
    <n v="162"/>
    <n v="22"/>
    <n v="34.6"/>
    <x v="0"/>
    <x v="1"/>
    <x v="2"/>
    <x v="2"/>
    <x v="2"/>
    <n v="3.4"/>
    <n v="6"/>
    <x v="2"/>
    <x v="0"/>
    <x v="0"/>
    <s v="Yes"/>
  </r>
  <r>
    <n v="163"/>
    <n v="19"/>
    <n v="19.100000000000001"/>
    <x v="0"/>
    <x v="1"/>
    <x v="1"/>
    <x v="1"/>
    <x v="1"/>
    <n v="3"/>
    <n v="9"/>
    <x v="0"/>
    <x v="2"/>
    <x v="2"/>
    <s v="No"/>
  </r>
  <r>
    <n v="164"/>
    <n v="23"/>
    <n v="25"/>
    <x v="0"/>
    <x v="1"/>
    <x v="1"/>
    <x v="2"/>
    <x v="0"/>
    <n v="2.7"/>
    <n v="9"/>
    <x v="1"/>
    <x v="2"/>
    <x v="1"/>
    <s v="No"/>
  </r>
  <r>
    <n v="165"/>
    <n v="28"/>
    <n v="29.6"/>
    <x v="0"/>
    <x v="1"/>
    <x v="4"/>
    <x v="2"/>
    <x v="2"/>
    <n v="2.2000000000000002"/>
    <n v="9"/>
    <x v="2"/>
    <x v="1"/>
    <x v="2"/>
    <s v="Yes"/>
  </r>
  <r>
    <n v="166"/>
    <n v="36"/>
    <n v="26.4"/>
    <x v="0"/>
    <x v="0"/>
    <x v="0"/>
    <x v="0"/>
    <x v="0"/>
    <n v="3.9"/>
    <n v="5"/>
    <x v="0"/>
    <x v="1"/>
    <x v="0"/>
    <s v="No"/>
  </r>
  <r>
    <n v="167"/>
    <n v="31"/>
    <n v="21"/>
    <x v="1"/>
    <x v="1"/>
    <x v="1"/>
    <x v="2"/>
    <x v="2"/>
    <n v="3.7"/>
    <n v="5"/>
    <x v="2"/>
    <x v="1"/>
    <x v="2"/>
    <s v="Yes"/>
  </r>
  <r>
    <n v="168"/>
    <n v="35"/>
    <n v="23.9"/>
    <x v="0"/>
    <x v="1"/>
    <x v="2"/>
    <x v="0"/>
    <x v="2"/>
    <n v="3.8"/>
    <n v="7"/>
    <x v="2"/>
    <x v="2"/>
    <x v="2"/>
    <s v="No"/>
  </r>
  <r>
    <n v="169"/>
    <n v="37"/>
    <n v="26.5"/>
    <x v="1"/>
    <x v="1"/>
    <x v="1"/>
    <x v="1"/>
    <x v="1"/>
    <n v="3.9"/>
    <n v="7"/>
    <x v="1"/>
    <x v="0"/>
    <x v="1"/>
    <s v="No"/>
  </r>
  <r>
    <n v="170"/>
    <n v="28"/>
    <n v="26.4"/>
    <x v="0"/>
    <x v="1"/>
    <x v="4"/>
    <x v="2"/>
    <x v="0"/>
    <n v="2.9"/>
    <n v="8"/>
    <x v="1"/>
    <x v="1"/>
    <x v="0"/>
    <s v="Yes"/>
  </r>
  <r>
    <n v="171"/>
    <n v="27"/>
    <n v="34.299999999999997"/>
    <x v="1"/>
    <x v="1"/>
    <x v="3"/>
    <x v="2"/>
    <x v="2"/>
    <n v="3.4"/>
    <n v="6"/>
    <x v="0"/>
    <x v="0"/>
    <x v="0"/>
    <s v="No"/>
  </r>
  <r>
    <n v="172"/>
    <n v="22"/>
    <n v="20.3"/>
    <x v="1"/>
    <x v="0"/>
    <x v="4"/>
    <x v="2"/>
    <x v="0"/>
    <n v="2.1"/>
    <n v="6"/>
    <x v="0"/>
    <x v="1"/>
    <x v="0"/>
    <s v="No"/>
  </r>
  <r>
    <n v="173"/>
    <n v="40"/>
    <n v="26.3"/>
    <x v="1"/>
    <x v="0"/>
    <x v="1"/>
    <x v="0"/>
    <x v="2"/>
    <n v="3.1"/>
    <n v="8"/>
    <x v="1"/>
    <x v="0"/>
    <x v="1"/>
    <s v="No"/>
  </r>
  <r>
    <n v="174"/>
    <n v="28"/>
    <n v="23.2"/>
    <x v="1"/>
    <x v="0"/>
    <x v="1"/>
    <x v="0"/>
    <x v="0"/>
    <n v="3.3"/>
    <n v="5"/>
    <x v="0"/>
    <x v="2"/>
    <x v="1"/>
    <s v="Yes"/>
  </r>
  <r>
    <n v="175"/>
    <n v="30"/>
    <n v="31.5"/>
    <x v="1"/>
    <x v="1"/>
    <x v="4"/>
    <x v="0"/>
    <x v="2"/>
    <n v="2.9"/>
    <n v="5"/>
    <x v="1"/>
    <x v="2"/>
    <x v="0"/>
    <s v="No"/>
  </r>
  <r>
    <n v="176"/>
    <n v="22"/>
    <n v="32.5"/>
    <x v="0"/>
    <x v="1"/>
    <x v="0"/>
    <x v="0"/>
    <x v="2"/>
    <n v="1.9"/>
    <n v="8"/>
    <x v="2"/>
    <x v="2"/>
    <x v="2"/>
    <s v="Yes"/>
  </r>
  <r>
    <n v="177"/>
    <n v="18"/>
    <n v="30.7"/>
    <x v="0"/>
    <x v="0"/>
    <x v="0"/>
    <x v="2"/>
    <x v="0"/>
    <n v="3.7"/>
    <n v="8"/>
    <x v="2"/>
    <x v="2"/>
    <x v="1"/>
    <s v="No"/>
  </r>
  <r>
    <n v="178"/>
    <n v="39"/>
    <n v="20.100000000000001"/>
    <x v="1"/>
    <x v="1"/>
    <x v="2"/>
    <x v="0"/>
    <x v="1"/>
    <n v="2.2000000000000002"/>
    <n v="6"/>
    <x v="1"/>
    <x v="2"/>
    <x v="0"/>
    <s v="No"/>
  </r>
  <r>
    <n v="179"/>
    <n v="36"/>
    <n v="30.4"/>
    <x v="1"/>
    <x v="1"/>
    <x v="2"/>
    <x v="2"/>
    <x v="1"/>
    <n v="1.7"/>
    <n v="5"/>
    <x v="1"/>
    <x v="2"/>
    <x v="1"/>
    <s v="No"/>
  </r>
  <r>
    <n v="180"/>
    <n v="39"/>
    <n v="26.8"/>
    <x v="0"/>
    <x v="0"/>
    <x v="2"/>
    <x v="1"/>
    <x v="0"/>
    <n v="2.1"/>
    <n v="6"/>
    <x v="1"/>
    <x v="1"/>
    <x v="0"/>
    <s v="No"/>
  </r>
  <r>
    <n v="181"/>
    <n v="31"/>
    <n v="30.1"/>
    <x v="0"/>
    <x v="0"/>
    <x v="0"/>
    <x v="2"/>
    <x v="0"/>
    <n v="3.7"/>
    <n v="5"/>
    <x v="2"/>
    <x v="2"/>
    <x v="2"/>
    <s v="No"/>
  </r>
  <r>
    <n v="182"/>
    <n v="20"/>
    <n v="33.6"/>
    <x v="1"/>
    <x v="0"/>
    <x v="1"/>
    <x v="2"/>
    <x v="1"/>
    <n v="2.9"/>
    <n v="6"/>
    <x v="0"/>
    <x v="2"/>
    <x v="2"/>
    <s v="No"/>
  </r>
  <r>
    <n v="183"/>
    <n v="21"/>
    <n v="29.7"/>
    <x v="0"/>
    <x v="0"/>
    <x v="1"/>
    <x v="1"/>
    <x v="1"/>
    <n v="2.6"/>
    <n v="9"/>
    <x v="1"/>
    <x v="2"/>
    <x v="2"/>
    <s v="Yes"/>
  </r>
  <r>
    <n v="184"/>
    <n v="35"/>
    <n v="26.1"/>
    <x v="0"/>
    <x v="0"/>
    <x v="3"/>
    <x v="1"/>
    <x v="1"/>
    <n v="3.4"/>
    <n v="9"/>
    <x v="0"/>
    <x v="1"/>
    <x v="0"/>
    <s v="No"/>
  </r>
  <r>
    <n v="185"/>
    <n v="40"/>
    <n v="19.600000000000001"/>
    <x v="1"/>
    <x v="0"/>
    <x v="3"/>
    <x v="0"/>
    <x v="2"/>
    <n v="2.5"/>
    <n v="6"/>
    <x v="2"/>
    <x v="0"/>
    <x v="2"/>
    <s v="No"/>
  </r>
  <r>
    <n v="186"/>
    <n v="29"/>
    <n v="34.9"/>
    <x v="0"/>
    <x v="1"/>
    <x v="3"/>
    <x v="1"/>
    <x v="1"/>
    <n v="3.2"/>
    <n v="9"/>
    <x v="0"/>
    <x v="0"/>
    <x v="0"/>
    <s v="Yes"/>
  </r>
  <r>
    <n v="187"/>
    <n v="23"/>
    <n v="34.9"/>
    <x v="0"/>
    <x v="0"/>
    <x v="0"/>
    <x v="0"/>
    <x v="1"/>
    <n v="3.9"/>
    <n v="8"/>
    <x v="2"/>
    <x v="0"/>
    <x v="2"/>
    <s v="No"/>
  </r>
  <r>
    <n v="188"/>
    <n v="35"/>
    <n v="24.8"/>
    <x v="1"/>
    <x v="0"/>
    <x v="3"/>
    <x v="1"/>
    <x v="1"/>
    <n v="2.2000000000000002"/>
    <n v="5"/>
    <x v="0"/>
    <x v="0"/>
    <x v="0"/>
    <s v="Yes"/>
  </r>
  <r>
    <n v="189"/>
    <n v="25"/>
    <n v="21.9"/>
    <x v="1"/>
    <x v="0"/>
    <x v="3"/>
    <x v="2"/>
    <x v="0"/>
    <n v="3.3"/>
    <n v="5"/>
    <x v="0"/>
    <x v="0"/>
    <x v="1"/>
    <s v="No"/>
  </r>
  <r>
    <n v="190"/>
    <n v="32"/>
    <n v="22.4"/>
    <x v="1"/>
    <x v="0"/>
    <x v="0"/>
    <x v="2"/>
    <x v="2"/>
    <n v="2.1"/>
    <n v="9"/>
    <x v="1"/>
    <x v="0"/>
    <x v="2"/>
    <s v="No"/>
  </r>
  <r>
    <n v="191"/>
    <n v="25"/>
    <n v="23.5"/>
    <x v="1"/>
    <x v="0"/>
    <x v="3"/>
    <x v="1"/>
    <x v="2"/>
    <n v="1.7"/>
    <n v="9"/>
    <x v="2"/>
    <x v="1"/>
    <x v="2"/>
    <s v="No"/>
  </r>
  <r>
    <n v="192"/>
    <n v="35"/>
    <n v="26.7"/>
    <x v="0"/>
    <x v="1"/>
    <x v="1"/>
    <x v="1"/>
    <x v="0"/>
    <n v="2.5"/>
    <n v="6"/>
    <x v="1"/>
    <x v="2"/>
    <x v="1"/>
    <s v="No"/>
  </r>
  <r>
    <n v="193"/>
    <n v="25"/>
    <n v="32.5"/>
    <x v="0"/>
    <x v="0"/>
    <x v="3"/>
    <x v="0"/>
    <x v="0"/>
    <n v="2.5"/>
    <n v="8"/>
    <x v="2"/>
    <x v="0"/>
    <x v="1"/>
    <s v="No"/>
  </r>
  <r>
    <n v="194"/>
    <n v="25"/>
    <n v="22.7"/>
    <x v="0"/>
    <x v="0"/>
    <x v="3"/>
    <x v="1"/>
    <x v="1"/>
    <n v="2.8"/>
    <n v="6"/>
    <x v="0"/>
    <x v="2"/>
    <x v="0"/>
    <s v="Yes"/>
  </r>
  <r>
    <n v="195"/>
    <n v="20"/>
    <n v="21.6"/>
    <x v="1"/>
    <x v="1"/>
    <x v="0"/>
    <x v="1"/>
    <x v="2"/>
    <n v="3.9"/>
    <n v="5"/>
    <x v="0"/>
    <x v="1"/>
    <x v="2"/>
    <s v="Yes"/>
  </r>
  <r>
    <n v="196"/>
    <n v="33"/>
    <n v="33.6"/>
    <x v="1"/>
    <x v="1"/>
    <x v="0"/>
    <x v="2"/>
    <x v="2"/>
    <n v="3.4"/>
    <n v="8"/>
    <x v="1"/>
    <x v="0"/>
    <x v="2"/>
    <s v="No"/>
  </r>
  <r>
    <n v="197"/>
    <n v="27"/>
    <n v="22.8"/>
    <x v="0"/>
    <x v="1"/>
    <x v="4"/>
    <x v="2"/>
    <x v="2"/>
    <n v="3.4"/>
    <n v="7"/>
    <x v="0"/>
    <x v="2"/>
    <x v="0"/>
    <s v="No"/>
  </r>
  <r>
    <n v="198"/>
    <n v="19"/>
    <n v="27.8"/>
    <x v="1"/>
    <x v="0"/>
    <x v="4"/>
    <x v="1"/>
    <x v="0"/>
    <n v="3.8"/>
    <n v="9"/>
    <x v="2"/>
    <x v="2"/>
    <x v="0"/>
    <s v="Yes"/>
  </r>
  <r>
    <n v="199"/>
    <n v="24"/>
    <n v="23.9"/>
    <x v="0"/>
    <x v="0"/>
    <x v="3"/>
    <x v="2"/>
    <x v="0"/>
    <n v="3.9"/>
    <n v="7"/>
    <x v="1"/>
    <x v="2"/>
    <x v="2"/>
    <s v="No"/>
  </r>
  <r>
    <n v="200"/>
    <n v="32"/>
    <n v="21.3"/>
    <x v="0"/>
    <x v="0"/>
    <x v="0"/>
    <x v="2"/>
    <x v="0"/>
    <n v="2.7"/>
    <n v="9"/>
    <x v="2"/>
    <x v="1"/>
    <x v="2"/>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AC10EF-F31D-4BD5-9461-2A25E57089D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cod status">
  <location ref="A3:B6" firstHeaderRow="1" firstDataRow="1" firstDataCol="1"/>
  <pivotFields count="14">
    <pivotField showAll="0"/>
    <pivotField showAll="0"/>
    <pivotField showAll="0"/>
    <pivotField axis="axisRow" showAll="0">
      <items count="3">
        <item x="0"/>
        <item x="1"/>
        <item t="default"/>
      </items>
    </pivotField>
    <pivotField showAll="0"/>
    <pivotField dataField="1"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Average of Exercise_Min_per_Day" fld="5" subtotal="average" baseField="3" baseItem="0"/>
  </dataFields>
  <chartFormats count="6">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3" count="1" selected="0">
            <x v="0"/>
          </reference>
        </references>
      </pivotArea>
    </chartFormat>
    <chartFormat chart="6"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482BFD-4CB7-4F8D-BB17-BFACB5FA04B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tress level">
  <location ref="G3:J8" firstHeaderRow="1" firstDataRow="2" firstDataCol="1"/>
  <pivotFields count="14">
    <pivotField dataField="1" showAll="0"/>
    <pivotField showAll="0"/>
    <pivotField showAll="0"/>
    <pivotField axis="axisCol" showAll="0">
      <items count="3">
        <item x="0"/>
        <item x="1"/>
        <item t="default"/>
      </items>
    </pivotField>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s>
  <rowFields count="1">
    <field x="10"/>
  </rowFields>
  <rowItems count="4">
    <i>
      <x/>
    </i>
    <i>
      <x v="1"/>
    </i>
    <i>
      <x v="2"/>
    </i>
    <i t="grand">
      <x/>
    </i>
  </rowItems>
  <colFields count="1">
    <field x="3"/>
  </colFields>
  <colItems count="3">
    <i>
      <x/>
    </i>
    <i>
      <x v="1"/>
    </i>
    <i t="grand">
      <x/>
    </i>
  </colItems>
  <dataFields count="1">
    <dataField name="Count of User_ID" fld="0" subtotal="count" baseField="1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8" format="8" series="1">
      <pivotArea type="data" outline="0" fieldPosition="0">
        <references count="2">
          <reference field="4294967294" count="1" selected="0">
            <x v="0"/>
          </reference>
          <reference field="3" count="1" selected="0">
            <x v="0"/>
          </reference>
        </references>
      </pivotArea>
    </chartFormat>
    <chartFormat chart="8" format="9"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F85B10-80AF-487F-A199-805906DDED6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3:K8" firstHeaderRow="1" firstDataRow="2" firstDataCol="1"/>
  <pivotFields count="14">
    <pivotField showAll="0"/>
    <pivotField showAll="0"/>
    <pivotField showAll="0"/>
    <pivotField showAll="0">
      <items count="3">
        <item x="0"/>
        <item x="1"/>
        <item t="default"/>
      </items>
    </pivotField>
    <pivotField showAll="0"/>
    <pivotField showAll="0"/>
    <pivotField showAll="0"/>
    <pivotField axis="axisRow" showAll="0">
      <items count="4">
        <item x="0"/>
        <item x="1"/>
        <item x="2"/>
        <item t="default"/>
      </items>
    </pivotField>
    <pivotField showAll="0"/>
    <pivotField showAll="0"/>
    <pivotField showAll="0"/>
    <pivotField axis="axisCol" dataField="1" showAll="0">
      <items count="4">
        <item x="0"/>
        <item x="1"/>
        <item x="2"/>
        <item t="default"/>
      </items>
    </pivotField>
    <pivotField showAll="0"/>
    <pivotField showAll="0"/>
  </pivotFields>
  <rowFields count="1">
    <field x="7"/>
  </rowFields>
  <rowItems count="4">
    <i>
      <x/>
    </i>
    <i>
      <x v="1"/>
    </i>
    <i>
      <x v="2"/>
    </i>
    <i t="grand">
      <x/>
    </i>
  </rowItems>
  <colFields count="1">
    <field x="11"/>
  </colFields>
  <colItems count="4">
    <i>
      <x/>
    </i>
    <i>
      <x v="1"/>
    </i>
    <i>
      <x v="2"/>
    </i>
    <i t="grand">
      <x/>
    </i>
  </colItems>
  <dataFields count="1">
    <dataField name="Count of Bloating_Frequency" fld="11" subtotal="count" baseField="0" baseItem="0"/>
  </dataFields>
  <chartFormats count="6">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0" format="2" series="1">
      <pivotArea type="data" outline="0" fieldPosition="0">
        <references count="2">
          <reference field="4294967294" count="1" selected="0">
            <x v="0"/>
          </reference>
          <reference field="11" count="1" selected="0">
            <x v="2"/>
          </reference>
        </references>
      </pivotArea>
    </chartFormat>
    <chartFormat chart="8" format="12" series="1">
      <pivotArea type="data" outline="0" fieldPosition="0">
        <references count="2">
          <reference field="4294967294" count="1" selected="0">
            <x v="0"/>
          </reference>
          <reference field="11" count="1" selected="0">
            <x v="0"/>
          </reference>
        </references>
      </pivotArea>
    </chartFormat>
    <chartFormat chart="8" format="13" series="1">
      <pivotArea type="data" outline="0" fieldPosition="0">
        <references count="2">
          <reference field="4294967294" count="1" selected="0">
            <x v="0"/>
          </reference>
          <reference field="11" count="1" selected="0">
            <x v="1"/>
          </reference>
        </references>
      </pivotArea>
    </chartFormat>
    <chartFormat chart="8" format="14"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8059AF-4F62-4FEE-B270-4C1B0E2102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iet">
  <location ref="A3:B7" firstHeaderRow="1" firstDataRow="1" firstDataCol="1"/>
  <pivotFields count="14">
    <pivotField showAll="0"/>
    <pivotField showAll="0"/>
    <pivotField showAll="0"/>
    <pivotField showAll="0">
      <items count="3">
        <item x="0"/>
        <item x="1"/>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pivotFields>
  <rowFields count="1">
    <field x="6"/>
  </rowFields>
  <rowItems count="4">
    <i>
      <x/>
    </i>
    <i>
      <x v="1"/>
    </i>
    <i>
      <x v="2"/>
    </i>
    <i t="grand">
      <x/>
    </i>
  </rowItems>
  <colItems count="1">
    <i/>
  </colItems>
  <dataFields count="1">
    <dataField name="Count of Bloating_Frequency" fld="11" subtotal="count" baseField="0" baseItem="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6" count="1" selected="0">
            <x v="0"/>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0" format="6">
      <pivotArea type="data" outline="0" fieldPosition="0">
        <references count="2">
          <reference field="4294967294" count="1" selected="0">
            <x v="0"/>
          </reference>
          <reference field="6" count="1" selected="0">
            <x v="2"/>
          </reference>
        </references>
      </pivotArea>
    </chartFormat>
    <chartFormat chart="6" format="13" series="1">
      <pivotArea type="data" outline="0" fieldPosition="0">
        <references count="1">
          <reference field="4294967294" count="1" selected="0">
            <x v="0"/>
          </reference>
        </references>
      </pivotArea>
    </chartFormat>
    <chartFormat chart="6" format="14">
      <pivotArea type="data" outline="0" fieldPosition="0">
        <references count="2">
          <reference field="4294967294" count="1" selected="0">
            <x v="0"/>
          </reference>
          <reference field="6" count="1" selected="0">
            <x v="0"/>
          </reference>
        </references>
      </pivotArea>
    </chartFormat>
    <chartFormat chart="6" format="15">
      <pivotArea type="data" outline="0" fieldPosition="0">
        <references count="2">
          <reference field="4294967294" count="1" selected="0">
            <x v="0"/>
          </reference>
          <reference field="6" count="1" selected="0">
            <x v="1"/>
          </reference>
        </references>
      </pivotArea>
    </chartFormat>
    <chartFormat chart="6"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893D45C-D878-4B06-8DFC-F40BEEBE94B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E10" firstHeaderRow="1" firstDataRow="2" firstDataCol="1"/>
  <pivotFields count="14">
    <pivotField dataField="1" showAll="0"/>
    <pivotField showAll="0"/>
    <pivotField showAll="0"/>
    <pivotField showAll="0">
      <items count="3">
        <item x="0"/>
        <item x="1"/>
        <item t="default"/>
      </items>
    </pivotField>
    <pivotField showAll="0"/>
    <pivotField axis="axisRow" showAll="0">
      <items count="6">
        <item x="4"/>
        <item x="0"/>
        <item x="2"/>
        <item x="3"/>
        <item x="1"/>
        <item t="default"/>
      </items>
    </pivotField>
    <pivotField showAll="0"/>
    <pivotField showAll="0"/>
    <pivotField showAll="0"/>
    <pivotField showAll="0"/>
    <pivotField showAll="0"/>
    <pivotField showAll="0"/>
    <pivotField axis="axisCol" showAll="0">
      <items count="4">
        <item x="2"/>
        <item x="1"/>
        <item x="0"/>
        <item t="default"/>
      </items>
    </pivotField>
    <pivotField showAll="0"/>
  </pivotFields>
  <rowFields count="1">
    <field x="5"/>
  </rowFields>
  <rowItems count="6">
    <i>
      <x/>
    </i>
    <i>
      <x v="1"/>
    </i>
    <i>
      <x v="2"/>
    </i>
    <i>
      <x v="3"/>
    </i>
    <i>
      <x v="4"/>
    </i>
    <i t="grand">
      <x/>
    </i>
  </rowItems>
  <colFields count="1">
    <field x="12"/>
  </colFields>
  <colItems count="4">
    <i>
      <x/>
    </i>
    <i>
      <x v="1"/>
    </i>
    <i>
      <x v="2"/>
    </i>
    <i t="grand">
      <x/>
    </i>
  </colItems>
  <dataFields count="1">
    <dataField name="Count of User_ID" fld="0" subtotal="count" baseField="5"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8" format="12" series="1">
      <pivotArea type="data" outline="0" fieldPosition="0">
        <references count="2">
          <reference field="4294967294" count="1" selected="0">
            <x v="0"/>
          </reference>
          <reference field="12" count="1" selected="0">
            <x v="0"/>
          </reference>
        </references>
      </pivotArea>
    </chartFormat>
    <chartFormat chart="8" format="13" series="1">
      <pivotArea type="data" outline="0" fieldPosition="0">
        <references count="2">
          <reference field="4294967294" count="1" selected="0">
            <x v="0"/>
          </reference>
          <reference field="12" count="1" selected="0">
            <x v="1"/>
          </reference>
        </references>
      </pivotArea>
    </chartFormat>
    <chartFormat chart="8" format="14"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3372B8-76A9-4BCB-8091-96D8AF7AF4C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YCLE _REGULARITY">
  <location ref="A3:B6" firstHeaderRow="1" firstDataRow="1" firstDataCol="1"/>
  <pivotFields count="14">
    <pivotField dataField="1" showAll="0"/>
    <pivotField showAll="0"/>
    <pivotField showAll="0"/>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Sum of User_ID" fld="0" baseField="0" baseItem="0"/>
  </dataFields>
  <chartFormats count="2">
    <chartFormat chart="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CFAB23B-EA85-4450-B955-2AD5A4D744A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4">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User_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2D621E-B5DF-4E0A-9FA8-00DF38A6607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cod status">
  <location ref="A3:B6" firstHeaderRow="1" firstDataRow="1" firstDataCol="1"/>
  <pivotFields count="14">
    <pivotField dataField="1"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Sum of User_ID" fld="0"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OD_Status" xr10:uid="{4E608171-F016-4571-B19C-6A967C171841}" sourceName="PCOD_Status">
  <pivotTables>
    <pivotTable tabId="14" name="PivotTable3"/>
    <pivotTable tabId="12" name="PivotTable1"/>
    <pivotTable tabId="7" name="PivotTable10"/>
    <pivotTable tabId="7" name="PivotTable9"/>
    <pivotTable tabId="8" name="PivotTable11"/>
    <pivotTable tabId="6" name="PivotTable7"/>
    <pivotTable tabId="6" name="PivotTable8"/>
    <pivotTable tabId="5" name="PivotTable6"/>
  </pivotTables>
  <data>
    <tabular pivotCacheId="214572786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OD_Status 1" xr10:uid="{F0AC1DB7-103F-45D2-90CC-D68892AA338A}" cache="Slicer_PCOD_Status" caption="PCOD_Status"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COD_Status" xr10:uid="{0AADC5FA-D570-4F9F-9E6B-A42B38436DD1}" cache="Slicer_PCOD_Status" caption="PCOD_Status"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E7351-5637-4AC8-BF7C-6CD9B40F9473}">
  <dimension ref="A1:N201"/>
  <sheetViews>
    <sheetView zoomScale="80" workbookViewId="0">
      <selection activeCell="A201" sqref="A201"/>
    </sheetView>
  </sheetViews>
  <sheetFormatPr defaultRowHeight="14.4" x14ac:dyDescent="0.3"/>
  <cols>
    <col min="1" max="1" width="9" customWidth="1"/>
    <col min="3" max="3" width="12.21875" customWidth="1"/>
    <col min="4" max="4" width="13.21875" customWidth="1"/>
    <col min="5" max="5" width="16" customWidth="1"/>
    <col min="6" max="6" width="21" customWidth="1"/>
    <col min="7" max="7" width="9" bestFit="1" customWidth="1"/>
    <col min="8" max="8" width="12.5546875" customWidth="1"/>
    <col min="9" max="9" width="11.77734375" customWidth="1"/>
    <col min="10" max="10" width="14.77734375" customWidth="1"/>
    <col min="11" max="11" width="11.109375" bestFit="1" customWidth="1"/>
    <col min="12" max="12" width="17.77734375" customWidth="1"/>
    <col min="13" max="13" width="19.44140625" customWidth="1"/>
    <col min="14" max="14" width="18.21875" customWidth="1"/>
  </cols>
  <sheetData>
    <row r="1" spans="1:14" x14ac:dyDescent="0.3">
      <c r="A1" t="s">
        <v>23</v>
      </c>
      <c r="B1" t="s">
        <v>22</v>
      </c>
      <c r="C1" t="s">
        <v>21</v>
      </c>
      <c r="D1" t="s">
        <v>20</v>
      </c>
      <c r="E1" t="s">
        <v>19</v>
      </c>
      <c r="F1" t="s">
        <v>18</v>
      </c>
      <c r="G1" t="s">
        <v>17</v>
      </c>
      <c r="H1" t="s">
        <v>16</v>
      </c>
      <c r="I1" t="s">
        <v>15</v>
      </c>
      <c r="J1" t="s">
        <v>14</v>
      </c>
      <c r="K1" t="s">
        <v>13</v>
      </c>
      <c r="L1" t="s">
        <v>12</v>
      </c>
      <c r="M1" t="s">
        <v>11</v>
      </c>
      <c r="N1" t="s">
        <v>10</v>
      </c>
    </row>
    <row r="2" spans="1:14" x14ac:dyDescent="0.3">
      <c r="A2">
        <v>1</v>
      </c>
      <c r="B2">
        <v>38</v>
      </c>
      <c r="C2">
        <v>20.3</v>
      </c>
      <c r="D2" t="s">
        <v>5</v>
      </c>
      <c r="E2" t="s">
        <v>4</v>
      </c>
      <c r="F2">
        <v>15</v>
      </c>
      <c r="G2" t="s">
        <v>9</v>
      </c>
      <c r="H2" t="s">
        <v>1</v>
      </c>
      <c r="I2">
        <v>1.8</v>
      </c>
      <c r="J2">
        <v>9</v>
      </c>
      <c r="K2" t="s">
        <v>2</v>
      </c>
      <c r="L2" t="s">
        <v>1</v>
      </c>
      <c r="M2" t="s">
        <v>6</v>
      </c>
      <c r="N2" t="s">
        <v>0</v>
      </c>
    </row>
    <row r="3" spans="1:14" x14ac:dyDescent="0.3">
      <c r="A3">
        <v>2</v>
      </c>
      <c r="B3">
        <v>18</v>
      </c>
      <c r="C3">
        <v>20</v>
      </c>
      <c r="D3" t="s">
        <v>0</v>
      </c>
      <c r="E3" t="s">
        <v>4</v>
      </c>
      <c r="F3">
        <v>60</v>
      </c>
      <c r="G3" t="s">
        <v>9</v>
      </c>
      <c r="H3" t="s">
        <v>1</v>
      </c>
      <c r="I3">
        <v>3.1</v>
      </c>
      <c r="J3">
        <v>9</v>
      </c>
      <c r="K3" t="s">
        <v>6</v>
      </c>
      <c r="L3" t="s">
        <v>2</v>
      </c>
      <c r="M3" t="s">
        <v>6</v>
      </c>
      <c r="N3" t="s">
        <v>5</v>
      </c>
    </row>
    <row r="4" spans="1:14" x14ac:dyDescent="0.3">
      <c r="A4">
        <v>3</v>
      </c>
      <c r="B4">
        <v>18</v>
      </c>
      <c r="C4">
        <v>31</v>
      </c>
      <c r="D4" t="s">
        <v>0</v>
      </c>
      <c r="E4" t="s">
        <v>8</v>
      </c>
      <c r="F4">
        <v>30</v>
      </c>
      <c r="G4" t="s">
        <v>7</v>
      </c>
      <c r="H4" t="s">
        <v>2</v>
      </c>
      <c r="I4">
        <v>2</v>
      </c>
      <c r="J4">
        <v>7</v>
      </c>
      <c r="K4" t="s">
        <v>2</v>
      </c>
      <c r="L4" t="s">
        <v>2</v>
      </c>
      <c r="M4" t="s">
        <v>6</v>
      </c>
      <c r="N4" t="s">
        <v>0</v>
      </c>
    </row>
    <row r="5" spans="1:14" x14ac:dyDescent="0.3">
      <c r="A5">
        <v>4</v>
      </c>
      <c r="B5">
        <v>29</v>
      </c>
      <c r="C5">
        <v>32.5</v>
      </c>
      <c r="D5" t="s">
        <v>5</v>
      </c>
      <c r="E5" t="s">
        <v>4</v>
      </c>
      <c r="F5">
        <v>45</v>
      </c>
      <c r="G5" t="s">
        <v>3</v>
      </c>
      <c r="H5" t="s">
        <v>2</v>
      </c>
      <c r="I5">
        <v>3.9</v>
      </c>
      <c r="J5">
        <v>8</v>
      </c>
      <c r="K5" t="s">
        <v>2</v>
      </c>
      <c r="L5" t="s">
        <v>1</v>
      </c>
      <c r="M5" t="s">
        <v>6</v>
      </c>
      <c r="N5" t="s">
        <v>5</v>
      </c>
    </row>
    <row r="6" spans="1:14" x14ac:dyDescent="0.3">
      <c r="A6">
        <v>5</v>
      </c>
      <c r="B6">
        <v>36</v>
      </c>
      <c r="C6">
        <v>21.7</v>
      </c>
      <c r="D6" t="s">
        <v>0</v>
      </c>
      <c r="E6" t="s">
        <v>4</v>
      </c>
      <c r="F6">
        <v>15</v>
      </c>
      <c r="G6" t="s">
        <v>7</v>
      </c>
      <c r="H6" t="s">
        <v>2</v>
      </c>
      <c r="I6">
        <v>3.6</v>
      </c>
      <c r="J6">
        <v>5</v>
      </c>
      <c r="K6" t="s">
        <v>6</v>
      </c>
      <c r="L6" t="s">
        <v>6</v>
      </c>
      <c r="M6" t="s">
        <v>6</v>
      </c>
      <c r="N6" t="s">
        <v>5</v>
      </c>
    </row>
    <row r="7" spans="1:14" x14ac:dyDescent="0.3">
      <c r="A7">
        <v>6</v>
      </c>
      <c r="B7">
        <v>23</v>
      </c>
      <c r="C7">
        <v>24.6</v>
      </c>
      <c r="D7" t="s">
        <v>0</v>
      </c>
      <c r="E7" t="s">
        <v>8</v>
      </c>
      <c r="F7">
        <v>0</v>
      </c>
      <c r="G7" t="s">
        <v>3</v>
      </c>
      <c r="H7" t="s">
        <v>1</v>
      </c>
      <c r="I7">
        <v>1.9</v>
      </c>
      <c r="J7">
        <v>6</v>
      </c>
      <c r="K7" t="s">
        <v>2</v>
      </c>
      <c r="L7" t="s">
        <v>6</v>
      </c>
      <c r="M7" t="s">
        <v>6</v>
      </c>
      <c r="N7" t="s">
        <v>5</v>
      </c>
    </row>
    <row r="8" spans="1:14" x14ac:dyDescent="0.3">
      <c r="A8">
        <v>7</v>
      </c>
      <c r="B8">
        <v>38</v>
      </c>
      <c r="C8">
        <v>29.9</v>
      </c>
      <c r="D8" t="s">
        <v>0</v>
      </c>
      <c r="E8" t="s">
        <v>8</v>
      </c>
      <c r="F8">
        <v>0</v>
      </c>
      <c r="G8" t="s">
        <v>9</v>
      </c>
      <c r="H8" t="s">
        <v>2</v>
      </c>
      <c r="I8">
        <v>3.5</v>
      </c>
      <c r="J8">
        <v>8</v>
      </c>
      <c r="K8" t="s">
        <v>6</v>
      </c>
      <c r="L8" t="s">
        <v>2</v>
      </c>
      <c r="M8" t="s">
        <v>2</v>
      </c>
      <c r="N8" t="s">
        <v>5</v>
      </c>
    </row>
    <row r="9" spans="1:14" x14ac:dyDescent="0.3">
      <c r="A9">
        <v>8</v>
      </c>
      <c r="B9">
        <v>24</v>
      </c>
      <c r="C9">
        <v>29.3</v>
      </c>
      <c r="D9" t="s">
        <v>5</v>
      </c>
      <c r="E9" t="s">
        <v>8</v>
      </c>
      <c r="F9">
        <v>15</v>
      </c>
      <c r="G9" t="s">
        <v>7</v>
      </c>
      <c r="H9" t="s">
        <v>2</v>
      </c>
      <c r="I9">
        <v>2.1</v>
      </c>
      <c r="J9">
        <v>9</v>
      </c>
      <c r="K9" t="s">
        <v>1</v>
      </c>
      <c r="L9" t="s">
        <v>6</v>
      </c>
      <c r="M9" t="s">
        <v>1</v>
      </c>
      <c r="N9" t="s">
        <v>5</v>
      </c>
    </row>
    <row r="10" spans="1:14" x14ac:dyDescent="0.3">
      <c r="A10">
        <v>9</v>
      </c>
      <c r="B10">
        <v>36</v>
      </c>
      <c r="C10">
        <v>25.1</v>
      </c>
      <c r="D10" t="s">
        <v>0</v>
      </c>
      <c r="E10" t="s">
        <v>4</v>
      </c>
      <c r="F10">
        <v>60</v>
      </c>
      <c r="G10" t="s">
        <v>7</v>
      </c>
      <c r="H10" t="s">
        <v>2</v>
      </c>
      <c r="I10">
        <v>3.4</v>
      </c>
      <c r="J10">
        <v>5</v>
      </c>
      <c r="K10" t="s">
        <v>2</v>
      </c>
      <c r="L10" t="s">
        <v>1</v>
      </c>
      <c r="M10" t="s">
        <v>2</v>
      </c>
      <c r="N10" t="s">
        <v>5</v>
      </c>
    </row>
    <row r="11" spans="1:14" x14ac:dyDescent="0.3">
      <c r="A11">
        <v>10</v>
      </c>
      <c r="B11">
        <v>37</v>
      </c>
      <c r="C11">
        <v>19.5</v>
      </c>
      <c r="D11" t="s">
        <v>5</v>
      </c>
      <c r="E11" t="s">
        <v>8</v>
      </c>
      <c r="F11">
        <v>60</v>
      </c>
      <c r="G11" t="s">
        <v>7</v>
      </c>
      <c r="H11" t="s">
        <v>1</v>
      </c>
      <c r="I11">
        <v>3.7</v>
      </c>
      <c r="J11">
        <v>5</v>
      </c>
      <c r="K11" t="s">
        <v>1</v>
      </c>
      <c r="L11" t="s">
        <v>1</v>
      </c>
      <c r="M11" t="s">
        <v>2</v>
      </c>
      <c r="N11" t="s">
        <v>5</v>
      </c>
    </row>
    <row r="12" spans="1:14" x14ac:dyDescent="0.3">
      <c r="A12">
        <v>11</v>
      </c>
      <c r="B12">
        <v>38</v>
      </c>
      <c r="C12">
        <v>24.1</v>
      </c>
      <c r="D12" t="s">
        <v>5</v>
      </c>
      <c r="E12" t="s">
        <v>8</v>
      </c>
      <c r="F12">
        <v>15</v>
      </c>
      <c r="G12" t="s">
        <v>7</v>
      </c>
      <c r="H12" t="s">
        <v>2</v>
      </c>
      <c r="I12">
        <v>3.9</v>
      </c>
      <c r="J12">
        <v>7</v>
      </c>
      <c r="K12" t="s">
        <v>1</v>
      </c>
      <c r="L12" t="s">
        <v>2</v>
      </c>
      <c r="M12" t="s">
        <v>1</v>
      </c>
      <c r="N12" t="s">
        <v>0</v>
      </c>
    </row>
    <row r="13" spans="1:14" x14ac:dyDescent="0.3">
      <c r="A13">
        <v>12</v>
      </c>
      <c r="B13">
        <v>38</v>
      </c>
      <c r="C13">
        <v>23.4</v>
      </c>
      <c r="D13" t="s">
        <v>0</v>
      </c>
      <c r="E13" t="s">
        <v>4</v>
      </c>
      <c r="F13">
        <v>30</v>
      </c>
      <c r="G13" t="s">
        <v>9</v>
      </c>
      <c r="H13" t="s">
        <v>1</v>
      </c>
      <c r="I13">
        <v>3.9</v>
      </c>
      <c r="J13">
        <v>9</v>
      </c>
      <c r="K13" t="s">
        <v>2</v>
      </c>
      <c r="L13" t="s">
        <v>1</v>
      </c>
      <c r="M13" t="s">
        <v>6</v>
      </c>
      <c r="N13" t="s">
        <v>5</v>
      </c>
    </row>
    <row r="14" spans="1:14" x14ac:dyDescent="0.3">
      <c r="A14">
        <v>13</v>
      </c>
      <c r="B14">
        <v>18</v>
      </c>
      <c r="C14">
        <v>20.3</v>
      </c>
      <c r="D14" t="s">
        <v>5</v>
      </c>
      <c r="E14" t="s">
        <v>8</v>
      </c>
      <c r="F14">
        <v>15</v>
      </c>
      <c r="G14" t="s">
        <v>9</v>
      </c>
      <c r="H14" t="s">
        <v>2</v>
      </c>
      <c r="I14">
        <v>3.7</v>
      </c>
      <c r="J14">
        <v>5</v>
      </c>
      <c r="K14" t="s">
        <v>2</v>
      </c>
      <c r="L14" t="s">
        <v>1</v>
      </c>
      <c r="M14" t="s">
        <v>6</v>
      </c>
      <c r="N14" t="s">
        <v>0</v>
      </c>
    </row>
    <row r="15" spans="1:14" x14ac:dyDescent="0.3">
      <c r="A15">
        <v>14</v>
      </c>
      <c r="B15">
        <v>35</v>
      </c>
      <c r="C15">
        <v>31.1</v>
      </c>
      <c r="D15" t="s">
        <v>0</v>
      </c>
      <c r="E15" t="s">
        <v>8</v>
      </c>
      <c r="F15">
        <v>60</v>
      </c>
      <c r="G15" t="s">
        <v>9</v>
      </c>
      <c r="H15" t="s">
        <v>6</v>
      </c>
      <c r="I15">
        <v>2.8</v>
      </c>
      <c r="J15">
        <v>9</v>
      </c>
      <c r="K15" t="s">
        <v>6</v>
      </c>
      <c r="L15" t="s">
        <v>2</v>
      </c>
      <c r="M15" t="s">
        <v>1</v>
      </c>
      <c r="N15" t="s">
        <v>0</v>
      </c>
    </row>
    <row r="16" spans="1:14" x14ac:dyDescent="0.3">
      <c r="A16">
        <v>15</v>
      </c>
      <c r="B16">
        <v>40</v>
      </c>
      <c r="C16">
        <v>23.6</v>
      </c>
      <c r="D16" t="s">
        <v>5</v>
      </c>
      <c r="E16" t="s">
        <v>8</v>
      </c>
      <c r="F16">
        <v>60</v>
      </c>
      <c r="G16" t="s">
        <v>7</v>
      </c>
      <c r="H16" t="s">
        <v>2</v>
      </c>
      <c r="I16">
        <v>2.1</v>
      </c>
      <c r="J16">
        <v>5</v>
      </c>
      <c r="K16" t="s">
        <v>6</v>
      </c>
      <c r="L16" t="s">
        <v>2</v>
      </c>
      <c r="M16" t="s">
        <v>1</v>
      </c>
      <c r="N16" t="s">
        <v>0</v>
      </c>
    </row>
    <row r="17" spans="1:14" x14ac:dyDescent="0.3">
      <c r="A17">
        <v>16</v>
      </c>
      <c r="B17">
        <v>36</v>
      </c>
      <c r="C17">
        <v>22.1</v>
      </c>
      <c r="D17" t="s">
        <v>0</v>
      </c>
      <c r="E17" t="s">
        <v>4</v>
      </c>
      <c r="F17">
        <v>15</v>
      </c>
      <c r="G17" t="s">
        <v>9</v>
      </c>
      <c r="H17" t="s">
        <v>2</v>
      </c>
      <c r="I17">
        <v>3.6</v>
      </c>
      <c r="J17">
        <v>5</v>
      </c>
      <c r="K17" t="s">
        <v>1</v>
      </c>
      <c r="L17" t="s">
        <v>2</v>
      </c>
      <c r="M17" t="s">
        <v>6</v>
      </c>
      <c r="N17" t="s">
        <v>5</v>
      </c>
    </row>
    <row r="18" spans="1:14" x14ac:dyDescent="0.3">
      <c r="A18">
        <v>17</v>
      </c>
      <c r="B18">
        <v>24</v>
      </c>
      <c r="C18">
        <v>27.4</v>
      </c>
      <c r="D18" t="s">
        <v>5</v>
      </c>
      <c r="E18" t="s">
        <v>4</v>
      </c>
      <c r="F18">
        <v>45</v>
      </c>
      <c r="G18" t="s">
        <v>7</v>
      </c>
      <c r="H18" t="s">
        <v>2</v>
      </c>
      <c r="I18">
        <v>1.7</v>
      </c>
      <c r="J18">
        <v>8</v>
      </c>
      <c r="K18" t="s">
        <v>6</v>
      </c>
      <c r="L18" t="s">
        <v>6</v>
      </c>
      <c r="M18" t="s">
        <v>6</v>
      </c>
      <c r="N18" t="s">
        <v>5</v>
      </c>
    </row>
    <row r="19" spans="1:14" x14ac:dyDescent="0.3">
      <c r="A19">
        <v>18</v>
      </c>
      <c r="B19">
        <v>19</v>
      </c>
      <c r="C19">
        <v>29.6</v>
      </c>
      <c r="D19" t="s">
        <v>0</v>
      </c>
      <c r="E19" t="s">
        <v>4</v>
      </c>
      <c r="F19">
        <v>45</v>
      </c>
      <c r="G19" t="s">
        <v>3</v>
      </c>
      <c r="H19" t="s">
        <v>6</v>
      </c>
      <c r="I19">
        <v>3.5</v>
      </c>
      <c r="J19">
        <v>5</v>
      </c>
      <c r="K19" t="s">
        <v>2</v>
      </c>
      <c r="L19" t="s">
        <v>2</v>
      </c>
      <c r="M19" t="s">
        <v>2</v>
      </c>
      <c r="N19" t="s">
        <v>5</v>
      </c>
    </row>
    <row r="20" spans="1:14" x14ac:dyDescent="0.3">
      <c r="A20">
        <v>19</v>
      </c>
      <c r="B20">
        <v>22</v>
      </c>
      <c r="C20">
        <v>25.5</v>
      </c>
      <c r="D20" t="s">
        <v>5</v>
      </c>
      <c r="E20" t="s">
        <v>8</v>
      </c>
      <c r="F20">
        <v>15</v>
      </c>
      <c r="G20" t="s">
        <v>9</v>
      </c>
      <c r="H20" t="s">
        <v>6</v>
      </c>
      <c r="I20">
        <v>3.5</v>
      </c>
      <c r="J20">
        <v>9</v>
      </c>
      <c r="K20" t="s">
        <v>2</v>
      </c>
      <c r="L20" t="s">
        <v>2</v>
      </c>
      <c r="M20" t="s">
        <v>1</v>
      </c>
      <c r="N20" t="s">
        <v>0</v>
      </c>
    </row>
    <row r="21" spans="1:14" x14ac:dyDescent="0.3">
      <c r="A21">
        <v>20</v>
      </c>
      <c r="B21">
        <v>20</v>
      </c>
      <c r="C21">
        <v>33.799999999999997</v>
      </c>
      <c r="D21" t="s">
        <v>0</v>
      </c>
      <c r="E21" t="s">
        <v>4</v>
      </c>
      <c r="F21">
        <v>45</v>
      </c>
      <c r="G21" t="s">
        <v>7</v>
      </c>
      <c r="H21" t="s">
        <v>6</v>
      </c>
      <c r="I21">
        <v>2</v>
      </c>
      <c r="J21">
        <v>8</v>
      </c>
      <c r="K21" t="s">
        <v>2</v>
      </c>
      <c r="L21" t="s">
        <v>2</v>
      </c>
      <c r="M21" t="s">
        <v>6</v>
      </c>
      <c r="N21" t="s">
        <v>0</v>
      </c>
    </row>
    <row r="22" spans="1:14" x14ac:dyDescent="0.3">
      <c r="A22">
        <v>21</v>
      </c>
      <c r="B22">
        <v>30</v>
      </c>
      <c r="C22">
        <v>22.9</v>
      </c>
      <c r="D22" t="s">
        <v>5</v>
      </c>
      <c r="E22" t="s">
        <v>8</v>
      </c>
      <c r="F22">
        <v>45</v>
      </c>
      <c r="G22" t="s">
        <v>3</v>
      </c>
      <c r="H22" t="s">
        <v>1</v>
      </c>
      <c r="I22">
        <v>4</v>
      </c>
      <c r="J22">
        <v>9</v>
      </c>
      <c r="K22" t="s">
        <v>1</v>
      </c>
      <c r="L22" t="s">
        <v>1</v>
      </c>
      <c r="M22" t="s">
        <v>6</v>
      </c>
      <c r="N22" t="s">
        <v>0</v>
      </c>
    </row>
    <row r="23" spans="1:14" x14ac:dyDescent="0.3">
      <c r="A23">
        <v>22</v>
      </c>
      <c r="B23">
        <v>24</v>
      </c>
      <c r="C23">
        <v>23.4</v>
      </c>
      <c r="D23" t="s">
        <v>0</v>
      </c>
      <c r="E23" t="s">
        <v>4</v>
      </c>
      <c r="F23">
        <v>30</v>
      </c>
      <c r="G23" t="s">
        <v>9</v>
      </c>
      <c r="H23" t="s">
        <v>2</v>
      </c>
      <c r="I23">
        <v>3</v>
      </c>
      <c r="J23">
        <v>9</v>
      </c>
      <c r="K23" t="s">
        <v>1</v>
      </c>
      <c r="L23" t="s">
        <v>2</v>
      </c>
      <c r="M23" t="s">
        <v>2</v>
      </c>
      <c r="N23" t="s">
        <v>0</v>
      </c>
    </row>
    <row r="24" spans="1:14" x14ac:dyDescent="0.3">
      <c r="A24">
        <v>23</v>
      </c>
      <c r="B24">
        <v>23</v>
      </c>
      <c r="C24">
        <v>19.600000000000001</v>
      </c>
      <c r="D24" t="s">
        <v>0</v>
      </c>
      <c r="E24" t="s">
        <v>4</v>
      </c>
      <c r="F24">
        <v>45</v>
      </c>
      <c r="G24" t="s">
        <v>9</v>
      </c>
      <c r="H24" t="s">
        <v>1</v>
      </c>
      <c r="I24">
        <v>2.1</v>
      </c>
      <c r="J24">
        <v>9</v>
      </c>
      <c r="K24" t="s">
        <v>2</v>
      </c>
      <c r="L24" t="s">
        <v>1</v>
      </c>
      <c r="M24" t="s">
        <v>2</v>
      </c>
      <c r="N24" t="s">
        <v>5</v>
      </c>
    </row>
    <row r="25" spans="1:14" x14ac:dyDescent="0.3">
      <c r="A25">
        <v>24</v>
      </c>
      <c r="B25">
        <v>39</v>
      </c>
      <c r="C25">
        <v>28.1</v>
      </c>
      <c r="D25" t="s">
        <v>5</v>
      </c>
      <c r="E25" t="s">
        <v>8</v>
      </c>
      <c r="F25">
        <v>15</v>
      </c>
      <c r="G25" t="s">
        <v>3</v>
      </c>
      <c r="H25" t="s">
        <v>1</v>
      </c>
      <c r="I25">
        <v>2.2999999999999998</v>
      </c>
      <c r="J25">
        <v>7</v>
      </c>
      <c r="K25" t="s">
        <v>6</v>
      </c>
      <c r="L25" t="s">
        <v>2</v>
      </c>
      <c r="M25" t="s">
        <v>1</v>
      </c>
      <c r="N25" t="s">
        <v>5</v>
      </c>
    </row>
    <row r="26" spans="1:14" x14ac:dyDescent="0.3">
      <c r="A26">
        <v>25</v>
      </c>
      <c r="B26">
        <v>32</v>
      </c>
      <c r="C26">
        <v>23.7</v>
      </c>
      <c r="D26" t="s">
        <v>0</v>
      </c>
      <c r="E26" t="s">
        <v>4</v>
      </c>
      <c r="F26">
        <v>45</v>
      </c>
      <c r="G26" t="s">
        <v>3</v>
      </c>
      <c r="H26" t="s">
        <v>1</v>
      </c>
      <c r="I26">
        <v>4</v>
      </c>
      <c r="J26">
        <v>5</v>
      </c>
      <c r="K26" t="s">
        <v>1</v>
      </c>
      <c r="L26" t="s">
        <v>2</v>
      </c>
      <c r="M26" t="s">
        <v>1</v>
      </c>
      <c r="N26" t="s">
        <v>5</v>
      </c>
    </row>
    <row r="27" spans="1:14" x14ac:dyDescent="0.3">
      <c r="A27">
        <v>26</v>
      </c>
      <c r="B27">
        <v>22</v>
      </c>
      <c r="C27">
        <v>33.9</v>
      </c>
      <c r="D27" t="s">
        <v>0</v>
      </c>
      <c r="E27" t="s">
        <v>4</v>
      </c>
      <c r="F27">
        <v>30</v>
      </c>
      <c r="G27" t="s">
        <v>7</v>
      </c>
      <c r="H27" t="s">
        <v>2</v>
      </c>
      <c r="I27">
        <v>2.6</v>
      </c>
      <c r="J27">
        <v>9</v>
      </c>
      <c r="K27" t="s">
        <v>1</v>
      </c>
      <c r="L27" t="s">
        <v>6</v>
      </c>
      <c r="M27" t="s">
        <v>1</v>
      </c>
      <c r="N27" t="s">
        <v>0</v>
      </c>
    </row>
    <row r="28" spans="1:14" x14ac:dyDescent="0.3">
      <c r="A28">
        <v>27</v>
      </c>
      <c r="B28">
        <v>39</v>
      </c>
      <c r="C28">
        <v>32</v>
      </c>
      <c r="D28" t="s">
        <v>5</v>
      </c>
      <c r="E28" t="s">
        <v>4</v>
      </c>
      <c r="F28">
        <v>15</v>
      </c>
      <c r="G28" t="s">
        <v>7</v>
      </c>
      <c r="H28" t="s">
        <v>2</v>
      </c>
      <c r="I28">
        <v>3.7</v>
      </c>
      <c r="J28">
        <v>9</v>
      </c>
      <c r="K28" t="s">
        <v>2</v>
      </c>
      <c r="L28" t="s">
        <v>6</v>
      </c>
      <c r="M28" t="s">
        <v>6</v>
      </c>
      <c r="N28" t="s">
        <v>0</v>
      </c>
    </row>
    <row r="29" spans="1:14" x14ac:dyDescent="0.3">
      <c r="A29">
        <v>28</v>
      </c>
      <c r="B29">
        <v>40</v>
      </c>
      <c r="C29">
        <v>24.2</v>
      </c>
      <c r="D29" t="s">
        <v>5</v>
      </c>
      <c r="E29" t="s">
        <v>8</v>
      </c>
      <c r="F29">
        <v>30</v>
      </c>
      <c r="G29" t="s">
        <v>9</v>
      </c>
      <c r="H29" t="s">
        <v>2</v>
      </c>
      <c r="I29">
        <v>3.1</v>
      </c>
      <c r="J29">
        <v>7</v>
      </c>
      <c r="K29" t="s">
        <v>2</v>
      </c>
      <c r="L29" t="s">
        <v>2</v>
      </c>
      <c r="M29" t="s">
        <v>6</v>
      </c>
      <c r="N29" t="s">
        <v>0</v>
      </c>
    </row>
    <row r="30" spans="1:14" x14ac:dyDescent="0.3">
      <c r="A30">
        <v>29</v>
      </c>
      <c r="B30">
        <v>38</v>
      </c>
      <c r="C30">
        <v>34.700000000000003</v>
      </c>
      <c r="D30" t="s">
        <v>0</v>
      </c>
      <c r="E30" t="s">
        <v>8</v>
      </c>
      <c r="F30">
        <v>60</v>
      </c>
      <c r="G30" t="s">
        <v>3</v>
      </c>
      <c r="H30" t="s">
        <v>6</v>
      </c>
      <c r="I30">
        <v>2.9</v>
      </c>
      <c r="J30">
        <v>5</v>
      </c>
      <c r="K30" t="s">
        <v>2</v>
      </c>
      <c r="L30" t="s">
        <v>1</v>
      </c>
      <c r="M30" t="s">
        <v>2</v>
      </c>
      <c r="N30" t="s">
        <v>0</v>
      </c>
    </row>
    <row r="31" spans="1:14" x14ac:dyDescent="0.3">
      <c r="A31">
        <v>30</v>
      </c>
      <c r="B31">
        <v>29</v>
      </c>
      <c r="C31">
        <v>28.1</v>
      </c>
      <c r="D31" t="s">
        <v>0</v>
      </c>
      <c r="E31" t="s">
        <v>8</v>
      </c>
      <c r="F31">
        <v>15</v>
      </c>
      <c r="G31" t="s">
        <v>9</v>
      </c>
      <c r="H31" t="s">
        <v>6</v>
      </c>
      <c r="I31">
        <v>2.4</v>
      </c>
      <c r="J31">
        <v>5</v>
      </c>
      <c r="K31" t="s">
        <v>6</v>
      </c>
      <c r="L31" t="s">
        <v>2</v>
      </c>
      <c r="M31" t="s">
        <v>1</v>
      </c>
      <c r="N31" t="s">
        <v>0</v>
      </c>
    </row>
    <row r="32" spans="1:14" x14ac:dyDescent="0.3">
      <c r="A32">
        <v>31</v>
      </c>
      <c r="B32">
        <v>39</v>
      </c>
      <c r="C32">
        <v>20.2</v>
      </c>
      <c r="D32" t="s">
        <v>5</v>
      </c>
      <c r="E32" t="s">
        <v>4</v>
      </c>
      <c r="F32">
        <v>15</v>
      </c>
      <c r="G32" t="s">
        <v>9</v>
      </c>
      <c r="H32" t="s">
        <v>2</v>
      </c>
      <c r="I32">
        <v>3.7</v>
      </c>
      <c r="J32">
        <v>5</v>
      </c>
      <c r="K32" t="s">
        <v>2</v>
      </c>
      <c r="L32" t="s">
        <v>1</v>
      </c>
      <c r="M32" t="s">
        <v>6</v>
      </c>
      <c r="N32" t="s">
        <v>5</v>
      </c>
    </row>
    <row r="33" spans="1:14" x14ac:dyDescent="0.3">
      <c r="A33">
        <v>32</v>
      </c>
      <c r="B33">
        <v>39</v>
      </c>
      <c r="C33">
        <v>32.799999999999997</v>
      </c>
      <c r="D33" t="s">
        <v>0</v>
      </c>
      <c r="E33" t="s">
        <v>8</v>
      </c>
      <c r="F33">
        <v>15</v>
      </c>
      <c r="G33" t="s">
        <v>3</v>
      </c>
      <c r="H33" t="s">
        <v>2</v>
      </c>
      <c r="I33">
        <v>2.5</v>
      </c>
      <c r="J33">
        <v>5</v>
      </c>
      <c r="K33" t="s">
        <v>6</v>
      </c>
      <c r="L33" t="s">
        <v>2</v>
      </c>
      <c r="M33" t="s">
        <v>2</v>
      </c>
      <c r="N33" t="s">
        <v>5</v>
      </c>
    </row>
    <row r="34" spans="1:14" x14ac:dyDescent="0.3">
      <c r="A34">
        <v>33</v>
      </c>
      <c r="B34">
        <v>29</v>
      </c>
      <c r="C34">
        <v>23.5</v>
      </c>
      <c r="D34" t="s">
        <v>0</v>
      </c>
      <c r="E34" t="s">
        <v>4</v>
      </c>
      <c r="F34">
        <v>0</v>
      </c>
      <c r="G34" t="s">
        <v>3</v>
      </c>
      <c r="H34" t="s">
        <v>2</v>
      </c>
      <c r="I34">
        <v>2.5</v>
      </c>
      <c r="J34">
        <v>7</v>
      </c>
      <c r="K34" t="s">
        <v>2</v>
      </c>
      <c r="L34" t="s">
        <v>6</v>
      </c>
      <c r="M34" t="s">
        <v>6</v>
      </c>
      <c r="N34" t="s">
        <v>5</v>
      </c>
    </row>
    <row r="35" spans="1:14" x14ac:dyDescent="0.3">
      <c r="A35">
        <v>34</v>
      </c>
      <c r="B35">
        <v>39</v>
      </c>
      <c r="C35">
        <v>34.700000000000003</v>
      </c>
      <c r="D35" t="s">
        <v>5</v>
      </c>
      <c r="E35" t="s">
        <v>4</v>
      </c>
      <c r="F35">
        <v>0</v>
      </c>
      <c r="G35" t="s">
        <v>7</v>
      </c>
      <c r="H35" t="s">
        <v>2</v>
      </c>
      <c r="I35">
        <v>3</v>
      </c>
      <c r="J35">
        <v>7</v>
      </c>
      <c r="K35" t="s">
        <v>2</v>
      </c>
      <c r="L35" t="s">
        <v>2</v>
      </c>
      <c r="M35" t="s">
        <v>1</v>
      </c>
      <c r="N35" t="s">
        <v>5</v>
      </c>
    </row>
    <row r="36" spans="1:14" x14ac:dyDescent="0.3">
      <c r="A36">
        <v>35</v>
      </c>
      <c r="B36">
        <v>29</v>
      </c>
      <c r="C36">
        <v>30.5</v>
      </c>
      <c r="D36" t="s">
        <v>5</v>
      </c>
      <c r="E36" t="s">
        <v>8</v>
      </c>
      <c r="F36">
        <v>60</v>
      </c>
      <c r="G36" t="s">
        <v>3</v>
      </c>
      <c r="H36" t="s">
        <v>2</v>
      </c>
      <c r="I36">
        <v>2.5</v>
      </c>
      <c r="J36">
        <v>9</v>
      </c>
      <c r="K36" t="s">
        <v>2</v>
      </c>
      <c r="L36" t="s">
        <v>6</v>
      </c>
      <c r="M36" t="s">
        <v>2</v>
      </c>
      <c r="N36" t="s">
        <v>5</v>
      </c>
    </row>
    <row r="37" spans="1:14" x14ac:dyDescent="0.3">
      <c r="A37">
        <v>36</v>
      </c>
      <c r="B37">
        <v>18</v>
      </c>
      <c r="C37">
        <v>27.1</v>
      </c>
      <c r="D37" t="s">
        <v>0</v>
      </c>
      <c r="E37" t="s">
        <v>8</v>
      </c>
      <c r="F37">
        <v>45</v>
      </c>
      <c r="G37" t="s">
        <v>9</v>
      </c>
      <c r="H37" t="s">
        <v>1</v>
      </c>
      <c r="I37">
        <v>3.8</v>
      </c>
      <c r="J37">
        <v>9</v>
      </c>
      <c r="K37" t="s">
        <v>6</v>
      </c>
      <c r="L37" t="s">
        <v>1</v>
      </c>
      <c r="M37" t="s">
        <v>2</v>
      </c>
      <c r="N37" t="s">
        <v>5</v>
      </c>
    </row>
    <row r="38" spans="1:14" x14ac:dyDescent="0.3">
      <c r="A38">
        <v>37</v>
      </c>
      <c r="B38">
        <v>34</v>
      </c>
      <c r="C38">
        <v>23.6</v>
      </c>
      <c r="D38" t="s">
        <v>5</v>
      </c>
      <c r="E38" t="s">
        <v>8</v>
      </c>
      <c r="F38">
        <v>45</v>
      </c>
      <c r="G38" t="s">
        <v>3</v>
      </c>
      <c r="H38" t="s">
        <v>6</v>
      </c>
      <c r="I38">
        <v>2.9</v>
      </c>
      <c r="J38">
        <v>6</v>
      </c>
      <c r="K38" t="s">
        <v>6</v>
      </c>
      <c r="L38" t="s">
        <v>1</v>
      </c>
      <c r="M38" t="s">
        <v>6</v>
      </c>
      <c r="N38" t="s">
        <v>0</v>
      </c>
    </row>
    <row r="39" spans="1:14" x14ac:dyDescent="0.3">
      <c r="A39">
        <v>38</v>
      </c>
      <c r="B39">
        <v>37</v>
      </c>
      <c r="C39">
        <v>27.9</v>
      </c>
      <c r="D39" t="s">
        <v>5</v>
      </c>
      <c r="E39" t="s">
        <v>4</v>
      </c>
      <c r="F39">
        <v>30</v>
      </c>
      <c r="G39" t="s">
        <v>7</v>
      </c>
      <c r="H39" t="s">
        <v>2</v>
      </c>
      <c r="I39">
        <v>2.6</v>
      </c>
      <c r="J39">
        <v>9</v>
      </c>
      <c r="K39" t="s">
        <v>1</v>
      </c>
      <c r="L39" t="s">
        <v>1</v>
      </c>
      <c r="M39" t="s">
        <v>6</v>
      </c>
      <c r="N39" t="s">
        <v>5</v>
      </c>
    </row>
    <row r="40" spans="1:14" x14ac:dyDescent="0.3">
      <c r="A40">
        <v>39</v>
      </c>
      <c r="B40">
        <v>32</v>
      </c>
      <c r="C40">
        <v>25.8</v>
      </c>
      <c r="D40" t="s">
        <v>0</v>
      </c>
      <c r="E40" t="s">
        <v>8</v>
      </c>
      <c r="F40">
        <v>15</v>
      </c>
      <c r="G40" t="s">
        <v>3</v>
      </c>
      <c r="H40" t="s">
        <v>2</v>
      </c>
      <c r="I40">
        <v>2.2000000000000002</v>
      </c>
      <c r="J40">
        <v>9</v>
      </c>
      <c r="K40" t="s">
        <v>6</v>
      </c>
      <c r="L40" t="s">
        <v>2</v>
      </c>
      <c r="M40" t="s">
        <v>2</v>
      </c>
      <c r="N40" t="s">
        <v>5</v>
      </c>
    </row>
    <row r="41" spans="1:14" x14ac:dyDescent="0.3">
      <c r="A41">
        <v>40</v>
      </c>
      <c r="B41">
        <v>25</v>
      </c>
      <c r="C41">
        <v>31.8</v>
      </c>
      <c r="D41" t="s">
        <v>0</v>
      </c>
      <c r="E41" t="s">
        <v>4</v>
      </c>
      <c r="F41">
        <v>0</v>
      </c>
      <c r="G41" t="s">
        <v>9</v>
      </c>
      <c r="H41" t="s">
        <v>6</v>
      </c>
      <c r="I41">
        <v>3</v>
      </c>
      <c r="J41">
        <v>5</v>
      </c>
      <c r="K41" t="s">
        <v>6</v>
      </c>
      <c r="L41" t="s">
        <v>6</v>
      </c>
      <c r="M41" t="s">
        <v>1</v>
      </c>
      <c r="N41" t="s">
        <v>0</v>
      </c>
    </row>
    <row r="42" spans="1:14" x14ac:dyDescent="0.3">
      <c r="A42">
        <v>41</v>
      </c>
      <c r="B42">
        <v>40</v>
      </c>
      <c r="C42">
        <v>30</v>
      </c>
      <c r="D42" t="s">
        <v>5</v>
      </c>
      <c r="E42" t="s">
        <v>8</v>
      </c>
      <c r="F42">
        <v>15</v>
      </c>
      <c r="G42" t="s">
        <v>9</v>
      </c>
      <c r="H42" t="s">
        <v>1</v>
      </c>
      <c r="I42">
        <v>3.2</v>
      </c>
      <c r="J42">
        <v>5</v>
      </c>
      <c r="K42" t="s">
        <v>6</v>
      </c>
      <c r="L42" t="s">
        <v>2</v>
      </c>
      <c r="M42" t="s">
        <v>2</v>
      </c>
      <c r="N42" t="s">
        <v>5</v>
      </c>
    </row>
    <row r="43" spans="1:14" x14ac:dyDescent="0.3">
      <c r="A43">
        <v>42</v>
      </c>
      <c r="B43">
        <v>19</v>
      </c>
      <c r="C43">
        <v>27.7</v>
      </c>
      <c r="D43" t="s">
        <v>0</v>
      </c>
      <c r="E43" t="s">
        <v>8</v>
      </c>
      <c r="F43">
        <v>15</v>
      </c>
      <c r="G43" t="s">
        <v>7</v>
      </c>
      <c r="H43" t="s">
        <v>1</v>
      </c>
      <c r="I43">
        <v>2.8</v>
      </c>
      <c r="J43">
        <v>9</v>
      </c>
      <c r="K43" t="s">
        <v>1</v>
      </c>
      <c r="L43" t="s">
        <v>6</v>
      </c>
      <c r="M43" t="s">
        <v>6</v>
      </c>
      <c r="N43" t="s">
        <v>5</v>
      </c>
    </row>
    <row r="44" spans="1:14" x14ac:dyDescent="0.3">
      <c r="A44">
        <v>43</v>
      </c>
      <c r="B44">
        <v>35</v>
      </c>
      <c r="C44">
        <v>25.9</v>
      </c>
      <c r="D44" t="s">
        <v>0</v>
      </c>
      <c r="E44" t="s">
        <v>8</v>
      </c>
      <c r="F44">
        <v>45</v>
      </c>
      <c r="G44" t="s">
        <v>7</v>
      </c>
      <c r="H44" t="s">
        <v>2</v>
      </c>
      <c r="I44">
        <v>3.6</v>
      </c>
      <c r="J44">
        <v>7</v>
      </c>
      <c r="K44" t="s">
        <v>1</v>
      </c>
      <c r="L44" t="s">
        <v>6</v>
      </c>
      <c r="M44" t="s">
        <v>1</v>
      </c>
      <c r="N44" t="s">
        <v>0</v>
      </c>
    </row>
    <row r="45" spans="1:14" x14ac:dyDescent="0.3">
      <c r="A45">
        <v>44</v>
      </c>
      <c r="B45">
        <v>26</v>
      </c>
      <c r="C45">
        <v>25.8</v>
      </c>
      <c r="D45" t="s">
        <v>5</v>
      </c>
      <c r="E45" t="s">
        <v>4</v>
      </c>
      <c r="F45">
        <v>30</v>
      </c>
      <c r="G45" t="s">
        <v>7</v>
      </c>
      <c r="H45" t="s">
        <v>6</v>
      </c>
      <c r="I45">
        <v>3.7</v>
      </c>
      <c r="J45">
        <v>5</v>
      </c>
      <c r="K45" t="s">
        <v>2</v>
      </c>
      <c r="L45" t="s">
        <v>2</v>
      </c>
      <c r="M45" t="s">
        <v>2</v>
      </c>
      <c r="N45" t="s">
        <v>5</v>
      </c>
    </row>
    <row r="46" spans="1:14" x14ac:dyDescent="0.3">
      <c r="A46">
        <v>45</v>
      </c>
      <c r="B46">
        <v>40</v>
      </c>
      <c r="C46">
        <v>21</v>
      </c>
      <c r="D46" t="s">
        <v>0</v>
      </c>
      <c r="E46" t="s">
        <v>4</v>
      </c>
      <c r="F46">
        <v>45</v>
      </c>
      <c r="G46" t="s">
        <v>7</v>
      </c>
      <c r="H46" t="s">
        <v>6</v>
      </c>
      <c r="I46">
        <v>2.9</v>
      </c>
      <c r="J46">
        <v>8</v>
      </c>
      <c r="K46" t="s">
        <v>2</v>
      </c>
      <c r="L46" t="s">
        <v>2</v>
      </c>
      <c r="M46" t="s">
        <v>6</v>
      </c>
      <c r="N46" t="s">
        <v>5</v>
      </c>
    </row>
    <row r="47" spans="1:14" x14ac:dyDescent="0.3">
      <c r="A47">
        <v>46</v>
      </c>
      <c r="B47">
        <v>36</v>
      </c>
      <c r="C47">
        <v>34.1</v>
      </c>
      <c r="D47" t="s">
        <v>0</v>
      </c>
      <c r="E47" t="s">
        <v>8</v>
      </c>
      <c r="F47">
        <v>45</v>
      </c>
      <c r="G47" t="s">
        <v>9</v>
      </c>
      <c r="H47" t="s">
        <v>6</v>
      </c>
      <c r="I47">
        <v>2.2000000000000002</v>
      </c>
      <c r="J47">
        <v>8</v>
      </c>
      <c r="K47" t="s">
        <v>6</v>
      </c>
      <c r="L47" t="s">
        <v>1</v>
      </c>
      <c r="M47" t="s">
        <v>1</v>
      </c>
      <c r="N47" t="s">
        <v>0</v>
      </c>
    </row>
    <row r="48" spans="1:14" x14ac:dyDescent="0.3">
      <c r="A48">
        <v>47</v>
      </c>
      <c r="B48">
        <v>33</v>
      </c>
      <c r="C48">
        <v>22.1</v>
      </c>
      <c r="D48" t="s">
        <v>5</v>
      </c>
      <c r="E48" t="s">
        <v>8</v>
      </c>
      <c r="F48">
        <v>0</v>
      </c>
      <c r="G48" t="s">
        <v>7</v>
      </c>
      <c r="H48" t="s">
        <v>6</v>
      </c>
      <c r="I48">
        <v>3.2</v>
      </c>
      <c r="J48">
        <v>8</v>
      </c>
      <c r="K48" t="s">
        <v>1</v>
      </c>
      <c r="L48" t="s">
        <v>2</v>
      </c>
      <c r="M48" t="s">
        <v>6</v>
      </c>
      <c r="N48" t="s">
        <v>0</v>
      </c>
    </row>
    <row r="49" spans="1:14" x14ac:dyDescent="0.3">
      <c r="A49">
        <v>48</v>
      </c>
      <c r="B49">
        <v>37</v>
      </c>
      <c r="C49">
        <v>27.3</v>
      </c>
      <c r="D49" t="s">
        <v>5</v>
      </c>
      <c r="E49" t="s">
        <v>4</v>
      </c>
      <c r="F49">
        <v>0</v>
      </c>
      <c r="G49" t="s">
        <v>3</v>
      </c>
      <c r="H49" t="s">
        <v>6</v>
      </c>
      <c r="I49">
        <v>1.8</v>
      </c>
      <c r="J49">
        <v>8</v>
      </c>
      <c r="K49" t="s">
        <v>2</v>
      </c>
      <c r="L49" t="s">
        <v>2</v>
      </c>
      <c r="M49" t="s">
        <v>6</v>
      </c>
      <c r="N49" t="s">
        <v>5</v>
      </c>
    </row>
    <row r="50" spans="1:14" x14ac:dyDescent="0.3">
      <c r="A50">
        <v>49</v>
      </c>
      <c r="B50">
        <v>28</v>
      </c>
      <c r="C50">
        <v>22</v>
      </c>
      <c r="D50" t="s">
        <v>5</v>
      </c>
      <c r="E50" t="s">
        <v>8</v>
      </c>
      <c r="F50">
        <v>45</v>
      </c>
      <c r="G50" t="s">
        <v>7</v>
      </c>
      <c r="H50" t="s">
        <v>6</v>
      </c>
      <c r="I50">
        <v>2.1</v>
      </c>
      <c r="J50">
        <v>5</v>
      </c>
      <c r="K50" t="s">
        <v>6</v>
      </c>
      <c r="L50" t="s">
        <v>2</v>
      </c>
      <c r="M50" t="s">
        <v>1</v>
      </c>
      <c r="N50" t="s">
        <v>0</v>
      </c>
    </row>
    <row r="51" spans="1:14" x14ac:dyDescent="0.3">
      <c r="A51">
        <v>50</v>
      </c>
      <c r="B51">
        <v>29</v>
      </c>
      <c r="C51">
        <v>22.2</v>
      </c>
      <c r="D51" t="s">
        <v>0</v>
      </c>
      <c r="E51" t="s">
        <v>4</v>
      </c>
      <c r="F51">
        <v>0</v>
      </c>
      <c r="G51" t="s">
        <v>9</v>
      </c>
      <c r="H51" t="s">
        <v>2</v>
      </c>
      <c r="I51">
        <v>3.6</v>
      </c>
      <c r="J51">
        <v>9</v>
      </c>
      <c r="K51" t="s">
        <v>2</v>
      </c>
      <c r="L51" t="s">
        <v>2</v>
      </c>
      <c r="M51" t="s">
        <v>2</v>
      </c>
      <c r="N51" t="s">
        <v>5</v>
      </c>
    </row>
    <row r="52" spans="1:14" x14ac:dyDescent="0.3">
      <c r="A52">
        <v>51</v>
      </c>
      <c r="B52">
        <v>39</v>
      </c>
      <c r="C52">
        <v>20.399999999999999</v>
      </c>
      <c r="D52" t="s">
        <v>0</v>
      </c>
      <c r="E52" t="s">
        <v>8</v>
      </c>
      <c r="F52">
        <v>30</v>
      </c>
      <c r="G52" t="s">
        <v>7</v>
      </c>
      <c r="H52" t="s">
        <v>2</v>
      </c>
      <c r="I52">
        <v>3</v>
      </c>
      <c r="J52">
        <v>5</v>
      </c>
      <c r="K52" t="s">
        <v>2</v>
      </c>
      <c r="L52" t="s">
        <v>6</v>
      </c>
      <c r="M52" t="s">
        <v>2</v>
      </c>
      <c r="N52" t="s">
        <v>0</v>
      </c>
    </row>
    <row r="53" spans="1:14" x14ac:dyDescent="0.3">
      <c r="A53">
        <v>52</v>
      </c>
      <c r="B53">
        <v>27</v>
      </c>
      <c r="C53">
        <v>28</v>
      </c>
      <c r="D53" t="s">
        <v>5</v>
      </c>
      <c r="E53" t="s">
        <v>8</v>
      </c>
      <c r="F53">
        <v>15</v>
      </c>
      <c r="G53" t="s">
        <v>9</v>
      </c>
      <c r="H53" t="s">
        <v>1</v>
      </c>
      <c r="I53">
        <v>3.2</v>
      </c>
      <c r="J53">
        <v>6</v>
      </c>
      <c r="K53" t="s">
        <v>2</v>
      </c>
      <c r="L53" t="s">
        <v>1</v>
      </c>
      <c r="M53" t="s">
        <v>6</v>
      </c>
      <c r="N53" t="s">
        <v>0</v>
      </c>
    </row>
    <row r="54" spans="1:14" x14ac:dyDescent="0.3">
      <c r="A54">
        <v>53</v>
      </c>
      <c r="B54">
        <v>36</v>
      </c>
      <c r="C54">
        <v>31.4</v>
      </c>
      <c r="D54" t="s">
        <v>5</v>
      </c>
      <c r="E54" t="s">
        <v>8</v>
      </c>
      <c r="F54">
        <v>30</v>
      </c>
      <c r="G54" t="s">
        <v>9</v>
      </c>
      <c r="H54" t="s">
        <v>1</v>
      </c>
      <c r="I54">
        <v>3.1</v>
      </c>
      <c r="J54">
        <v>5</v>
      </c>
      <c r="K54" t="s">
        <v>6</v>
      </c>
      <c r="L54" t="s">
        <v>6</v>
      </c>
      <c r="M54" t="s">
        <v>2</v>
      </c>
      <c r="N54" t="s">
        <v>5</v>
      </c>
    </row>
    <row r="55" spans="1:14" x14ac:dyDescent="0.3">
      <c r="A55">
        <v>54</v>
      </c>
      <c r="B55">
        <v>29</v>
      </c>
      <c r="C55">
        <v>29</v>
      </c>
      <c r="D55" t="s">
        <v>5</v>
      </c>
      <c r="E55" t="s">
        <v>4</v>
      </c>
      <c r="F55">
        <v>45</v>
      </c>
      <c r="G55" t="s">
        <v>9</v>
      </c>
      <c r="H55" t="s">
        <v>1</v>
      </c>
      <c r="I55">
        <v>2.8</v>
      </c>
      <c r="J55">
        <v>7</v>
      </c>
      <c r="K55" t="s">
        <v>1</v>
      </c>
      <c r="L55" t="s">
        <v>1</v>
      </c>
      <c r="M55" t="s">
        <v>6</v>
      </c>
      <c r="N55" t="s">
        <v>5</v>
      </c>
    </row>
    <row r="56" spans="1:14" x14ac:dyDescent="0.3">
      <c r="A56">
        <v>55</v>
      </c>
      <c r="B56">
        <v>31</v>
      </c>
      <c r="C56">
        <v>32.1</v>
      </c>
      <c r="D56" t="s">
        <v>5</v>
      </c>
      <c r="E56" t="s">
        <v>8</v>
      </c>
      <c r="F56">
        <v>15</v>
      </c>
      <c r="G56" t="s">
        <v>9</v>
      </c>
      <c r="H56" t="s">
        <v>6</v>
      </c>
      <c r="I56">
        <v>3.7</v>
      </c>
      <c r="J56">
        <v>6</v>
      </c>
      <c r="K56" t="s">
        <v>6</v>
      </c>
      <c r="L56" t="s">
        <v>1</v>
      </c>
      <c r="M56" t="s">
        <v>1</v>
      </c>
      <c r="N56" t="s">
        <v>5</v>
      </c>
    </row>
    <row r="57" spans="1:14" x14ac:dyDescent="0.3">
      <c r="A57">
        <v>56</v>
      </c>
      <c r="B57">
        <v>28</v>
      </c>
      <c r="C57">
        <v>19</v>
      </c>
      <c r="D57" t="s">
        <v>5</v>
      </c>
      <c r="E57" t="s">
        <v>4</v>
      </c>
      <c r="F57">
        <v>45</v>
      </c>
      <c r="G57" t="s">
        <v>9</v>
      </c>
      <c r="H57" t="s">
        <v>6</v>
      </c>
      <c r="I57">
        <v>3.5</v>
      </c>
      <c r="J57">
        <v>7</v>
      </c>
      <c r="K57" t="s">
        <v>6</v>
      </c>
      <c r="L57" t="s">
        <v>1</v>
      </c>
      <c r="M57" t="s">
        <v>1</v>
      </c>
      <c r="N57" t="s">
        <v>5</v>
      </c>
    </row>
    <row r="58" spans="1:14" x14ac:dyDescent="0.3">
      <c r="A58">
        <v>57</v>
      </c>
      <c r="B58">
        <v>35</v>
      </c>
      <c r="C58">
        <v>18.7</v>
      </c>
      <c r="D58" t="s">
        <v>0</v>
      </c>
      <c r="E58" t="s">
        <v>4</v>
      </c>
      <c r="F58">
        <v>15</v>
      </c>
      <c r="G58" t="s">
        <v>3</v>
      </c>
      <c r="H58" t="s">
        <v>6</v>
      </c>
      <c r="I58">
        <v>2.7</v>
      </c>
      <c r="J58">
        <v>6</v>
      </c>
      <c r="K58" t="s">
        <v>1</v>
      </c>
      <c r="L58" t="s">
        <v>6</v>
      </c>
      <c r="M58" t="s">
        <v>1</v>
      </c>
      <c r="N58" t="s">
        <v>5</v>
      </c>
    </row>
    <row r="59" spans="1:14" x14ac:dyDescent="0.3">
      <c r="A59">
        <v>58</v>
      </c>
      <c r="B59">
        <v>32</v>
      </c>
      <c r="C59">
        <v>31.6</v>
      </c>
      <c r="D59" t="s">
        <v>0</v>
      </c>
      <c r="E59" t="s">
        <v>8</v>
      </c>
      <c r="F59">
        <v>15</v>
      </c>
      <c r="G59" t="s">
        <v>7</v>
      </c>
      <c r="H59" t="s">
        <v>1</v>
      </c>
      <c r="I59">
        <v>2.1</v>
      </c>
      <c r="J59">
        <v>9</v>
      </c>
      <c r="K59" t="s">
        <v>6</v>
      </c>
      <c r="L59" t="s">
        <v>6</v>
      </c>
      <c r="M59" t="s">
        <v>1</v>
      </c>
      <c r="N59" t="s">
        <v>5</v>
      </c>
    </row>
    <row r="60" spans="1:14" x14ac:dyDescent="0.3">
      <c r="A60">
        <v>59</v>
      </c>
      <c r="B60">
        <v>31</v>
      </c>
      <c r="C60">
        <v>34.9</v>
      </c>
      <c r="D60" t="s">
        <v>5</v>
      </c>
      <c r="E60" t="s">
        <v>8</v>
      </c>
      <c r="F60">
        <v>45</v>
      </c>
      <c r="G60" t="s">
        <v>7</v>
      </c>
      <c r="H60" t="s">
        <v>6</v>
      </c>
      <c r="I60">
        <v>2.1</v>
      </c>
      <c r="J60">
        <v>5</v>
      </c>
      <c r="K60" t="s">
        <v>1</v>
      </c>
      <c r="L60" t="s">
        <v>2</v>
      </c>
      <c r="M60" t="s">
        <v>6</v>
      </c>
      <c r="N60" t="s">
        <v>0</v>
      </c>
    </row>
    <row r="61" spans="1:14" x14ac:dyDescent="0.3">
      <c r="A61">
        <v>60</v>
      </c>
      <c r="B61">
        <v>35</v>
      </c>
      <c r="C61">
        <v>34.200000000000003</v>
      </c>
      <c r="D61" t="s">
        <v>0</v>
      </c>
      <c r="E61" t="s">
        <v>4</v>
      </c>
      <c r="F61">
        <v>15</v>
      </c>
      <c r="G61" t="s">
        <v>3</v>
      </c>
      <c r="H61" t="s">
        <v>6</v>
      </c>
      <c r="I61">
        <v>2.2000000000000002</v>
      </c>
      <c r="J61">
        <v>9</v>
      </c>
      <c r="K61" t="s">
        <v>1</v>
      </c>
      <c r="L61" t="s">
        <v>1</v>
      </c>
      <c r="M61" t="s">
        <v>6</v>
      </c>
      <c r="N61" t="s">
        <v>0</v>
      </c>
    </row>
    <row r="62" spans="1:14" x14ac:dyDescent="0.3">
      <c r="A62">
        <v>61</v>
      </c>
      <c r="B62">
        <v>24</v>
      </c>
      <c r="C62">
        <v>23.4</v>
      </c>
      <c r="D62" t="s">
        <v>5</v>
      </c>
      <c r="E62" t="s">
        <v>4</v>
      </c>
      <c r="F62">
        <v>30</v>
      </c>
      <c r="G62" t="s">
        <v>9</v>
      </c>
      <c r="H62" t="s">
        <v>1</v>
      </c>
      <c r="I62">
        <v>2.8</v>
      </c>
      <c r="J62">
        <v>7</v>
      </c>
      <c r="K62" t="s">
        <v>2</v>
      </c>
      <c r="L62" t="s">
        <v>2</v>
      </c>
      <c r="M62" t="s">
        <v>1</v>
      </c>
      <c r="N62" t="s">
        <v>5</v>
      </c>
    </row>
    <row r="63" spans="1:14" x14ac:dyDescent="0.3">
      <c r="A63">
        <v>62</v>
      </c>
      <c r="B63">
        <v>40</v>
      </c>
      <c r="C63">
        <v>34.1</v>
      </c>
      <c r="D63" t="s">
        <v>5</v>
      </c>
      <c r="E63" t="s">
        <v>4</v>
      </c>
      <c r="F63">
        <v>0</v>
      </c>
      <c r="G63" t="s">
        <v>3</v>
      </c>
      <c r="H63" t="s">
        <v>6</v>
      </c>
      <c r="I63">
        <v>2.7</v>
      </c>
      <c r="J63">
        <v>8</v>
      </c>
      <c r="K63" t="s">
        <v>6</v>
      </c>
      <c r="L63" t="s">
        <v>2</v>
      </c>
      <c r="M63" t="s">
        <v>2</v>
      </c>
      <c r="N63" t="s">
        <v>5</v>
      </c>
    </row>
    <row r="64" spans="1:14" x14ac:dyDescent="0.3">
      <c r="A64">
        <v>63</v>
      </c>
      <c r="B64">
        <v>33</v>
      </c>
      <c r="C64">
        <v>20.399999999999999</v>
      </c>
      <c r="D64" t="s">
        <v>0</v>
      </c>
      <c r="E64" t="s">
        <v>8</v>
      </c>
      <c r="F64">
        <v>45</v>
      </c>
      <c r="G64" t="s">
        <v>9</v>
      </c>
      <c r="H64" t="s">
        <v>1</v>
      </c>
      <c r="I64">
        <v>3.1</v>
      </c>
      <c r="J64">
        <v>5</v>
      </c>
      <c r="K64" t="s">
        <v>2</v>
      </c>
      <c r="L64" t="s">
        <v>2</v>
      </c>
      <c r="M64" t="s">
        <v>1</v>
      </c>
      <c r="N64" t="s">
        <v>5</v>
      </c>
    </row>
    <row r="65" spans="1:14" x14ac:dyDescent="0.3">
      <c r="A65">
        <v>64</v>
      </c>
      <c r="B65">
        <v>20</v>
      </c>
      <c r="C65">
        <v>34.9</v>
      </c>
      <c r="D65" t="s">
        <v>0</v>
      </c>
      <c r="E65" t="s">
        <v>8</v>
      </c>
      <c r="F65">
        <v>60</v>
      </c>
      <c r="G65" t="s">
        <v>3</v>
      </c>
      <c r="H65" t="s">
        <v>1</v>
      </c>
      <c r="I65">
        <v>2.1</v>
      </c>
      <c r="J65">
        <v>9</v>
      </c>
      <c r="K65" t="s">
        <v>6</v>
      </c>
      <c r="L65" t="s">
        <v>6</v>
      </c>
      <c r="M65" t="s">
        <v>6</v>
      </c>
      <c r="N65" t="s">
        <v>5</v>
      </c>
    </row>
    <row r="66" spans="1:14" x14ac:dyDescent="0.3">
      <c r="A66">
        <v>65</v>
      </c>
      <c r="B66">
        <v>36</v>
      </c>
      <c r="C66">
        <v>34.799999999999997</v>
      </c>
      <c r="D66" t="s">
        <v>5</v>
      </c>
      <c r="E66" t="s">
        <v>4</v>
      </c>
      <c r="F66">
        <v>60</v>
      </c>
      <c r="G66" t="s">
        <v>3</v>
      </c>
      <c r="H66" t="s">
        <v>2</v>
      </c>
      <c r="I66">
        <v>3.9</v>
      </c>
      <c r="J66">
        <v>6</v>
      </c>
      <c r="K66" t="s">
        <v>1</v>
      </c>
      <c r="L66" t="s">
        <v>2</v>
      </c>
      <c r="M66" t="s">
        <v>6</v>
      </c>
      <c r="N66" t="s">
        <v>0</v>
      </c>
    </row>
    <row r="67" spans="1:14" x14ac:dyDescent="0.3">
      <c r="A67">
        <v>66</v>
      </c>
      <c r="B67">
        <v>23</v>
      </c>
      <c r="C67">
        <v>22.5</v>
      </c>
      <c r="D67" t="s">
        <v>0</v>
      </c>
      <c r="E67" t="s">
        <v>4</v>
      </c>
      <c r="F67">
        <v>0</v>
      </c>
      <c r="G67" t="s">
        <v>7</v>
      </c>
      <c r="H67" t="s">
        <v>6</v>
      </c>
      <c r="I67">
        <v>3.2</v>
      </c>
      <c r="J67">
        <v>8</v>
      </c>
      <c r="K67" t="s">
        <v>6</v>
      </c>
      <c r="L67" t="s">
        <v>2</v>
      </c>
      <c r="M67" t="s">
        <v>2</v>
      </c>
      <c r="N67" t="s">
        <v>5</v>
      </c>
    </row>
    <row r="68" spans="1:14" x14ac:dyDescent="0.3">
      <c r="A68">
        <v>67</v>
      </c>
      <c r="B68">
        <v>40</v>
      </c>
      <c r="C68">
        <v>23.2</v>
      </c>
      <c r="D68" t="s">
        <v>5</v>
      </c>
      <c r="E68" t="s">
        <v>4</v>
      </c>
      <c r="F68">
        <v>15</v>
      </c>
      <c r="G68" t="s">
        <v>7</v>
      </c>
      <c r="H68" t="s">
        <v>1</v>
      </c>
      <c r="I68">
        <v>3</v>
      </c>
      <c r="J68">
        <v>6</v>
      </c>
      <c r="K68" t="s">
        <v>6</v>
      </c>
      <c r="L68" t="s">
        <v>2</v>
      </c>
      <c r="M68" t="s">
        <v>1</v>
      </c>
      <c r="N68" t="s">
        <v>0</v>
      </c>
    </row>
    <row r="69" spans="1:14" x14ac:dyDescent="0.3">
      <c r="A69">
        <v>68</v>
      </c>
      <c r="B69">
        <v>38</v>
      </c>
      <c r="C69">
        <v>21</v>
      </c>
      <c r="D69" t="s">
        <v>5</v>
      </c>
      <c r="E69" t="s">
        <v>4</v>
      </c>
      <c r="F69">
        <v>0</v>
      </c>
      <c r="G69" t="s">
        <v>9</v>
      </c>
      <c r="H69" t="s">
        <v>2</v>
      </c>
      <c r="I69">
        <v>3.5</v>
      </c>
      <c r="J69">
        <v>9</v>
      </c>
      <c r="K69" t="s">
        <v>1</v>
      </c>
      <c r="L69" t="s">
        <v>1</v>
      </c>
      <c r="M69" t="s">
        <v>6</v>
      </c>
      <c r="N69" t="s">
        <v>5</v>
      </c>
    </row>
    <row r="70" spans="1:14" x14ac:dyDescent="0.3">
      <c r="A70">
        <v>69</v>
      </c>
      <c r="B70">
        <v>21</v>
      </c>
      <c r="C70">
        <v>26.2</v>
      </c>
      <c r="D70" t="s">
        <v>5</v>
      </c>
      <c r="E70" t="s">
        <v>8</v>
      </c>
      <c r="F70">
        <v>30</v>
      </c>
      <c r="G70" t="s">
        <v>3</v>
      </c>
      <c r="H70" t="s">
        <v>1</v>
      </c>
      <c r="I70">
        <v>2.7</v>
      </c>
      <c r="J70">
        <v>5</v>
      </c>
      <c r="K70" t="s">
        <v>1</v>
      </c>
      <c r="L70" t="s">
        <v>2</v>
      </c>
      <c r="M70" t="s">
        <v>6</v>
      </c>
      <c r="N70" t="s">
        <v>5</v>
      </c>
    </row>
    <row r="71" spans="1:14" x14ac:dyDescent="0.3">
      <c r="A71">
        <v>70</v>
      </c>
      <c r="B71">
        <v>37</v>
      </c>
      <c r="C71">
        <v>22.6</v>
      </c>
      <c r="D71" t="s">
        <v>0</v>
      </c>
      <c r="E71" t="s">
        <v>4</v>
      </c>
      <c r="F71">
        <v>60</v>
      </c>
      <c r="G71" t="s">
        <v>3</v>
      </c>
      <c r="H71" t="s">
        <v>2</v>
      </c>
      <c r="I71">
        <v>4</v>
      </c>
      <c r="J71">
        <v>7</v>
      </c>
      <c r="K71" t="s">
        <v>1</v>
      </c>
      <c r="L71" t="s">
        <v>2</v>
      </c>
      <c r="M71" t="s">
        <v>2</v>
      </c>
      <c r="N71" t="s">
        <v>5</v>
      </c>
    </row>
    <row r="72" spans="1:14" x14ac:dyDescent="0.3">
      <c r="A72">
        <v>71</v>
      </c>
      <c r="B72">
        <v>34</v>
      </c>
      <c r="C72">
        <v>29.2</v>
      </c>
      <c r="D72" t="s">
        <v>5</v>
      </c>
      <c r="E72" t="s">
        <v>4</v>
      </c>
      <c r="F72">
        <v>60</v>
      </c>
      <c r="G72" t="s">
        <v>7</v>
      </c>
      <c r="H72" t="s">
        <v>1</v>
      </c>
      <c r="I72">
        <v>3.5</v>
      </c>
      <c r="J72">
        <v>5</v>
      </c>
      <c r="K72" t="s">
        <v>6</v>
      </c>
      <c r="L72" t="s">
        <v>6</v>
      </c>
      <c r="M72" t="s">
        <v>6</v>
      </c>
      <c r="N72" t="s">
        <v>5</v>
      </c>
    </row>
    <row r="73" spans="1:14" x14ac:dyDescent="0.3">
      <c r="A73">
        <v>72</v>
      </c>
      <c r="B73">
        <v>28</v>
      </c>
      <c r="C73">
        <v>29.6</v>
      </c>
      <c r="D73" t="s">
        <v>0</v>
      </c>
      <c r="E73" t="s">
        <v>8</v>
      </c>
      <c r="F73">
        <v>45</v>
      </c>
      <c r="G73" t="s">
        <v>3</v>
      </c>
      <c r="H73" t="s">
        <v>6</v>
      </c>
      <c r="I73">
        <v>2.2000000000000002</v>
      </c>
      <c r="J73">
        <v>8</v>
      </c>
      <c r="K73" t="s">
        <v>1</v>
      </c>
      <c r="L73" t="s">
        <v>2</v>
      </c>
      <c r="M73" t="s">
        <v>6</v>
      </c>
      <c r="N73" t="s">
        <v>0</v>
      </c>
    </row>
    <row r="74" spans="1:14" x14ac:dyDescent="0.3">
      <c r="A74">
        <v>73</v>
      </c>
      <c r="B74">
        <v>28</v>
      </c>
      <c r="C74">
        <v>22.7</v>
      </c>
      <c r="D74" t="s">
        <v>0</v>
      </c>
      <c r="E74" t="s">
        <v>8</v>
      </c>
      <c r="F74">
        <v>60</v>
      </c>
      <c r="G74" t="s">
        <v>9</v>
      </c>
      <c r="H74" t="s">
        <v>1</v>
      </c>
      <c r="I74">
        <v>3.7</v>
      </c>
      <c r="J74">
        <v>8</v>
      </c>
      <c r="K74" t="s">
        <v>6</v>
      </c>
      <c r="L74" t="s">
        <v>2</v>
      </c>
      <c r="M74" t="s">
        <v>2</v>
      </c>
      <c r="N74" t="s">
        <v>5</v>
      </c>
    </row>
    <row r="75" spans="1:14" x14ac:dyDescent="0.3">
      <c r="A75">
        <v>74</v>
      </c>
      <c r="B75">
        <v>37</v>
      </c>
      <c r="C75">
        <v>31</v>
      </c>
      <c r="D75" t="s">
        <v>5</v>
      </c>
      <c r="E75" t="s">
        <v>4</v>
      </c>
      <c r="F75">
        <v>15</v>
      </c>
      <c r="G75" t="s">
        <v>7</v>
      </c>
      <c r="H75" t="s">
        <v>1</v>
      </c>
      <c r="I75">
        <v>1.8</v>
      </c>
      <c r="J75">
        <v>7</v>
      </c>
      <c r="K75" t="s">
        <v>6</v>
      </c>
      <c r="L75" t="s">
        <v>1</v>
      </c>
      <c r="M75" t="s">
        <v>6</v>
      </c>
      <c r="N75" t="s">
        <v>0</v>
      </c>
    </row>
    <row r="76" spans="1:14" x14ac:dyDescent="0.3">
      <c r="A76">
        <v>75</v>
      </c>
      <c r="B76">
        <v>18</v>
      </c>
      <c r="C76">
        <v>34.6</v>
      </c>
      <c r="D76" t="s">
        <v>0</v>
      </c>
      <c r="E76" t="s">
        <v>4</v>
      </c>
      <c r="F76">
        <v>30</v>
      </c>
      <c r="G76" t="s">
        <v>3</v>
      </c>
      <c r="H76" t="s">
        <v>2</v>
      </c>
      <c r="I76">
        <v>2.9</v>
      </c>
      <c r="J76">
        <v>5</v>
      </c>
      <c r="K76" t="s">
        <v>2</v>
      </c>
      <c r="L76" t="s">
        <v>2</v>
      </c>
      <c r="M76" t="s">
        <v>6</v>
      </c>
      <c r="N76" t="s">
        <v>0</v>
      </c>
    </row>
    <row r="77" spans="1:14" x14ac:dyDescent="0.3">
      <c r="A77">
        <v>76</v>
      </c>
      <c r="B77">
        <v>38</v>
      </c>
      <c r="C77">
        <v>32.200000000000003</v>
      </c>
      <c r="D77" t="s">
        <v>5</v>
      </c>
      <c r="E77" t="s">
        <v>8</v>
      </c>
      <c r="F77">
        <v>60</v>
      </c>
      <c r="G77" t="s">
        <v>3</v>
      </c>
      <c r="H77" t="s">
        <v>6</v>
      </c>
      <c r="I77">
        <v>2.5</v>
      </c>
      <c r="J77">
        <v>8</v>
      </c>
      <c r="K77" t="s">
        <v>6</v>
      </c>
      <c r="L77" t="s">
        <v>2</v>
      </c>
      <c r="M77" t="s">
        <v>6</v>
      </c>
      <c r="N77" t="s">
        <v>0</v>
      </c>
    </row>
    <row r="78" spans="1:14" x14ac:dyDescent="0.3">
      <c r="A78">
        <v>77</v>
      </c>
      <c r="B78">
        <v>30</v>
      </c>
      <c r="C78">
        <v>21.6</v>
      </c>
      <c r="D78" t="s">
        <v>0</v>
      </c>
      <c r="E78" t="s">
        <v>4</v>
      </c>
      <c r="F78">
        <v>30</v>
      </c>
      <c r="G78" t="s">
        <v>7</v>
      </c>
      <c r="H78" t="s">
        <v>6</v>
      </c>
      <c r="I78">
        <v>3.8</v>
      </c>
      <c r="J78">
        <v>9</v>
      </c>
      <c r="K78" t="s">
        <v>6</v>
      </c>
      <c r="L78" t="s">
        <v>2</v>
      </c>
      <c r="M78" t="s">
        <v>6</v>
      </c>
      <c r="N78" t="s">
        <v>5</v>
      </c>
    </row>
    <row r="79" spans="1:14" x14ac:dyDescent="0.3">
      <c r="A79">
        <v>78</v>
      </c>
      <c r="B79">
        <v>36</v>
      </c>
      <c r="C79">
        <v>28.1</v>
      </c>
      <c r="D79" t="s">
        <v>5</v>
      </c>
      <c r="E79" t="s">
        <v>4</v>
      </c>
      <c r="F79">
        <v>45</v>
      </c>
      <c r="G79" t="s">
        <v>3</v>
      </c>
      <c r="H79" t="s">
        <v>6</v>
      </c>
      <c r="I79">
        <v>2.4</v>
      </c>
      <c r="J79">
        <v>9</v>
      </c>
      <c r="K79" t="s">
        <v>1</v>
      </c>
      <c r="L79" t="s">
        <v>6</v>
      </c>
      <c r="M79" t="s">
        <v>6</v>
      </c>
      <c r="N79" t="s">
        <v>5</v>
      </c>
    </row>
    <row r="80" spans="1:14" x14ac:dyDescent="0.3">
      <c r="A80">
        <v>79</v>
      </c>
      <c r="B80">
        <v>24</v>
      </c>
      <c r="C80">
        <v>34.700000000000003</v>
      </c>
      <c r="D80" t="s">
        <v>0</v>
      </c>
      <c r="E80" t="s">
        <v>8</v>
      </c>
      <c r="F80">
        <v>15</v>
      </c>
      <c r="G80" t="s">
        <v>7</v>
      </c>
      <c r="H80" t="s">
        <v>2</v>
      </c>
      <c r="I80">
        <v>2.2999999999999998</v>
      </c>
      <c r="J80">
        <v>8</v>
      </c>
      <c r="K80" t="s">
        <v>1</v>
      </c>
      <c r="L80" t="s">
        <v>6</v>
      </c>
      <c r="M80" t="s">
        <v>6</v>
      </c>
      <c r="N80" t="s">
        <v>0</v>
      </c>
    </row>
    <row r="81" spans="1:14" x14ac:dyDescent="0.3">
      <c r="A81">
        <v>80</v>
      </c>
      <c r="B81">
        <v>33</v>
      </c>
      <c r="C81">
        <v>34.4</v>
      </c>
      <c r="D81" t="s">
        <v>0</v>
      </c>
      <c r="E81" t="s">
        <v>8</v>
      </c>
      <c r="F81">
        <v>0</v>
      </c>
      <c r="G81" t="s">
        <v>7</v>
      </c>
      <c r="H81" t="s">
        <v>2</v>
      </c>
      <c r="I81">
        <v>2.8</v>
      </c>
      <c r="J81">
        <v>8</v>
      </c>
      <c r="K81" t="s">
        <v>2</v>
      </c>
      <c r="L81" t="s">
        <v>1</v>
      </c>
      <c r="M81" t="s">
        <v>2</v>
      </c>
      <c r="N81" t="s">
        <v>5</v>
      </c>
    </row>
    <row r="82" spans="1:14" x14ac:dyDescent="0.3">
      <c r="A82">
        <v>81</v>
      </c>
      <c r="B82">
        <v>38</v>
      </c>
      <c r="C82">
        <v>34.5</v>
      </c>
      <c r="D82" t="s">
        <v>0</v>
      </c>
      <c r="E82" t="s">
        <v>8</v>
      </c>
      <c r="F82">
        <v>30</v>
      </c>
      <c r="G82" t="s">
        <v>7</v>
      </c>
      <c r="H82" t="s">
        <v>1</v>
      </c>
      <c r="I82">
        <v>3.2</v>
      </c>
      <c r="J82">
        <v>5</v>
      </c>
      <c r="K82" t="s">
        <v>6</v>
      </c>
      <c r="L82" t="s">
        <v>1</v>
      </c>
      <c r="M82" t="s">
        <v>1</v>
      </c>
      <c r="N82" t="s">
        <v>5</v>
      </c>
    </row>
    <row r="83" spans="1:14" x14ac:dyDescent="0.3">
      <c r="A83">
        <v>82</v>
      </c>
      <c r="B83">
        <v>28</v>
      </c>
      <c r="C83">
        <v>28.8</v>
      </c>
      <c r="D83" t="s">
        <v>5</v>
      </c>
      <c r="E83" t="s">
        <v>4</v>
      </c>
      <c r="F83">
        <v>60</v>
      </c>
      <c r="G83" t="s">
        <v>9</v>
      </c>
      <c r="H83" t="s">
        <v>2</v>
      </c>
      <c r="I83">
        <v>3.1</v>
      </c>
      <c r="J83">
        <v>7</v>
      </c>
      <c r="K83" t="s">
        <v>2</v>
      </c>
      <c r="L83" t="s">
        <v>1</v>
      </c>
      <c r="M83" t="s">
        <v>2</v>
      </c>
      <c r="N83" t="s">
        <v>5</v>
      </c>
    </row>
    <row r="84" spans="1:14" x14ac:dyDescent="0.3">
      <c r="A84">
        <v>83</v>
      </c>
      <c r="B84">
        <v>21</v>
      </c>
      <c r="C84">
        <v>31</v>
      </c>
      <c r="D84" t="s">
        <v>0</v>
      </c>
      <c r="E84" t="s">
        <v>8</v>
      </c>
      <c r="F84">
        <v>15</v>
      </c>
      <c r="G84" t="s">
        <v>3</v>
      </c>
      <c r="H84" t="s">
        <v>6</v>
      </c>
      <c r="I84">
        <v>3.8</v>
      </c>
      <c r="J84">
        <v>5</v>
      </c>
      <c r="K84" t="s">
        <v>6</v>
      </c>
      <c r="L84" t="s">
        <v>2</v>
      </c>
      <c r="M84" t="s">
        <v>6</v>
      </c>
      <c r="N84" t="s">
        <v>5</v>
      </c>
    </row>
    <row r="85" spans="1:14" x14ac:dyDescent="0.3">
      <c r="A85">
        <v>84</v>
      </c>
      <c r="B85">
        <v>29</v>
      </c>
      <c r="C85">
        <v>25.6</v>
      </c>
      <c r="D85" t="s">
        <v>0</v>
      </c>
      <c r="E85" t="s">
        <v>8</v>
      </c>
      <c r="F85">
        <v>60</v>
      </c>
      <c r="G85" t="s">
        <v>3</v>
      </c>
      <c r="H85" t="s">
        <v>2</v>
      </c>
      <c r="I85">
        <v>1.9</v>
      </c>
      <c r="J85">
        <v>5</v>
      </c>
      <c r="K85" t="s">
        <v>1</v>
      </c>
      <c r="L85" t="s">
        <v>6</v>
      </c>
      <c r="M85" t="s">
        <v>1</v>
      </c>
      <c r="N85" t="s">
        <v>0</v>
      </c>
    </row>
    <row r="86" spans="1:14" x14ac:dyDescent="0.3">
      <c r="A86">
        <v>85</v>
      </c>
      <c r="B86">
        <v>33</v>
      </c>
      <c r="C86">
        <v>33.6</v>
      </c>
      <c r="D86" t="s">
        <v>0</v>
      </c>
      <c r="E86" t="s">
        <v>4</v>
      </c>
      <c r="F86">
        <v>45</v>
      </c>
      <c r="G86" t="s">
        <v>3</v>
      </c>
      <c r="H86" t="s">
        <v>6</v>
      </c>
      <c r="I86">
        <v>2.6</v>
      </c>
      <c r="J86">
        <v>5</v>
      </c>
      <c r="K86" t="s">
        <v>6</v>
      </c>
      <c r="L86" t="s">
        <v>6</v>
      </c>
      <c r="M86" t="s">
        <v>1</v>
      </c>
      <c r="N86" t="s">
        <v>0</v>
      </c>
    </row>
    <row r="87" spans="1:14" x14ac:dyDescent="0.3">
      <c r="A87">
        <v>86</v>
      </c>
      <c r="B87">
        <v>20</v>
      </c>
      <c r="C87">
        <v>25.8</v>
      </c>
      <c r="D87" t="s">
        <v>5</v>
      </c>
      <c r="E87" t="s">
        <v>8</v>
      </c>
      <c r="F87">
        <v>45</v>
      </c>
      <c r="G87" t="s">
        <v>3</v>
      </c>
      <c r="H87" t="s">
        <v>6</v>
      </c>
      <c r="I87">
        <v>2.6</v>
      </c>
      <c r="J87">
        <v>7</v>
      </c>
      <c r="K87" t="s">
        <v>2</v>
      </c>
      <c r="L87" t="s">
        <v>6</v>
      </c>
      <c r="M87" t="s">
        <v>6</v>
      </c>
      <c r="N87" t="s">
        <v>0</v>
      </c>
    </row>
    <row r="88" spans="1:14" x14ac:dyDescent="0.3">
      <c r="A88">
        <v>87</v>
      </c>
      <c r="B88">
        <v>25</v>
      </c>
      <c r="C88">
        <v>24.8</v>
      </c>
      <c r="D88" t="s">
        <v>5</v>
      </c>
      <c r="E88" t="s">
        <v>8</v>
      </c>
      <c r="F88">
        <v>30</v>
      </c>
      <c r="G88" t="s">
        <v>9</v>
      </c>
      <c r="H88" t="s">
        <v>1</v>
      </c>
      <c r="I88">
        <v>2.5</v>
      </c>
      <c r="J88">
        <v>5</v>
      </c>
      <c r="K88" t="s">
        <v>1</v>
      </c>
      <c r="L88" t="s">
        <v>1</v>
      </c>
      <c r="M88" t="s">
        <v>1</v>
      </c>
      <c r="N88" t="s">
        <v>0</v>
      </c>
    </row>
    <row r="89" spans="1:14" x14ac:dyDescent="0.3">
      <c r="A89">
        <v>88</v>
      </c>
      <c r="B89">
        <v>37</v>
      </c>
      <c r="C89">
        <v>30.8</v>
      </c>
      <c r="D89" t="s">
        <v>5</v>
      </c>
      <c r="E89" t="s">
        <v>4</v>
      </c>
      <c r="F89">
        <v>60</v>
      </c>
      <c r="G89" t="s">
        <v>7</v>
      </c>
      <c r="H89" t="s">
        <v>2</v>
      </c>
      <c r="I89">
        <v>3.1</v>
      </c>
      <c r="J89">
        <v>9</v>
      </c>
      <c r="K89" t="s">
        <v>6</v>
      </c>
      <c r="L89" t="s">
        <v>1</v>
      </c>
      <c r="M89" t="s">
        <v>1</v>
      </c>
      <c r="N89" t="s">
        <v>0</v>
      </c>
    </row>
    <row r="90" spans="1:14" x14ac:dyDescent="0.3">
      <c r="A90">
        <v>89</v>
      </c>
      <c r="B90">
        <v>38</v>
      </c>
      <c r="C90">
        <v>20.100000000000001</v>
      </c>
      <c r="D90" t="s">
        <v>0</v>
      </c>
      <c r="E90" t="s">
        <v>8</v>
      </c>
      <c r="F90">
        <v>45</v>
      </c>
      <c r="G90" t="s">
        <v>9</v>
      </c>
      <c r="H90" t="s">
        <v>1</v>
      </c>
      <c r="I90">
        <v>2.4</v>
      </c>
      <c r="J90">
        <v>6</v>
      </c>
      <c r="K90" t="s">
        <v>2</v>
      </c>
      <c r="L90" t="s">
        <v>6</v>
      </c>
      <c r="M90" t="s">
        <v>6</v>
      </c>
      <c r="N90" t="s">
        <v>5</v>
      </c>
    </row>
    <row r="91" spans="1:14" x14ac:dyDescent="0.3">
      <c r="A91">
        <v>90</v>
      </c>
      <c r="B91">
        <v>23</v>
      </c>
      <c r="C91">
        <v>21.8</v>
      </c>
      <c r="D91" t="s">
        <v>5</v>
      </c>
      <c r="E91" t="s">
        <v>8</v>
      </c>
      <c r="F91">
        <v>15</v>
      </c>
      <c r="G91" t="s">
        <v>7</v>
      </c>
      <c r="H91" t="s">
        <v>6</v>
      </c>
      <c r="I91">
        <v>3.9</v>
      </c>
      <c r="J91">
        <v>7</v>
      </c>
      <c r="K91" t="s">
        <v>1</v>
      </c>
      <c r="L91" t="s">
        <v>6</v>
      </c>
      <c r="M91" t="s">
        <v>2</v>
      </c>
      <c r="N91" t="s">
        <v>5</v>
      </c>
    </row>
    <row r="92" spans="1:14" x14ac:dyDescent="0.3">
      <c r="A92">
        <v>91</v>
      </c>
      <c r="B92">
        <v>20</v>
      </c>
      <c r="C92">
        <v>20.8</v>
      </c>
      <c r="D92" t="s">
        <v>0</v>
      </c>
      <c r="E92" t="s">
        <v>8</v>
      </c>
      <c r="F92">
        <v>60</v>
      </c>
      <c r="G92" t="s">
        <v>7</v>
      </c>
      <c r="H92" t="s">
        <v>2</v>
      </c>
      <c r="I92">
        <v>3.5</v>
      </c>
      <c r="J92">
        <v>5</v>
      </c>
      <c r="K92" t="s">
        <v>6</v>
      </c>
      <c r="L92" t="s">
        <v>1</v>
      </c>
      <c r="M92" t="s">
        <v>2</v>
      </c>
      <c r="N92" t="s">
        <v>5</v>
      </c>
    </row>
    <row r="93" spans="1:14" x14ac:dyDescent="0.3">
      <c r="A93">
        <v>92</v>
      </c>
      <c r="B93">
        <v>29</v>
      </c>
      <c r="C93">
        <v>29.6</v>
      </c>
      <c r="D93" t="s">
        <v>5</v>
      </c>
      <c r="E93" t="s">
        <v>8</v>
      </c>
      <c r="F93">
        <v>30</v>
      </c>
      <c r="G93" t="s">
        <v>9</v>
      </c>
      <c r="H93" t="s">
        <v>1</v>
      </c>
      <c r="I93">
        <v>2.1</v>
      </c>
      <c r="J93">
        <v>5</v>
      </c>
      <c r="K93" t="s">
        <v>1</v>
      </c>
      <c r="L93" t="s">
        <v>1</v>
      </c>
      <c r="M93" t="s">
        <v>6</v>
      </c>
      <c r="N93" t="s">
        <v>0</v>
      </c>
    </row>
    <row r="94" spans="1:14" x14ac:dyDescent="0.3">
      <c r="A94">
        <v>93</v>
      </c>
      <c r="B94">
        <v>38</v>
      </c>
      <c r="C94">
        <v>19.5</v>
      </c>
      <c r="D94" t="s">
        <v>5</v>
      </c>
      <c r="E94" t="s">
        <v>8</v>
      </c>
      <c r="F94">
        <v>45</v>
      </c>
      <c r="G94" t="s">
        <v>9</v>
      </c>
      <c r="H94" t="s">
        <v>2</v>
      </c>
      <c r="I94">
        <v>1.6</v>
      </c>
      <c r="J94">
        <v>5</v>
      </c>
      <c r="K94" t="s">
        <v>6</v>
      </c>
      <c r="L94" t="s">
        <v>6</v>
      </c>
      <c r="M94" t="s">
        <v>2</v>
      </c>
      <c r="N94" t="s">
        <v>0</v>
      </c>
    </row>
    <row r="95" spans="1:14" x14ac:dyDescent="0.3">
      <c r="A95">
        <v>94</v>
      </c>
      <c r="B95">
        <v>25</v>
      </c>
      <c r="C95">
        <v>33.1</v>
      </c>
      <c r="D95" t="s">
        <v>0</v>
      </c>
      <c r="E95" t="s">
        <v>8</v>
      </c>
      <c r="F95">
        <v>45</v>
      </c>
      <c r="G95" t="s">
        <v>7</v>
      </c>
      <c r="H95" t="s">
        <v>1</v>
      </c>
      <c r="I95">
        <v>3.9</v>
      </c>
      <c r="J95">
        <v>9</v>
      </c>
      <c r="K95" t="s">
        <v>6</v>
      </c>
      <c r="L95" t="s">
        <v>1</v>
      </c>
      <c r="M95" t="s">
        <v>1</v>
      </c>
      <c r="N95" t="s">
        <v>0</v>
      </c>
    </row>
    <row r="96" spans="1:14" x14ac:dyDescent="0.3">
      <c r="A96">
        <v>95</v>
      </c>
      <c r="B96">
        <v>31</v>
      </c>
      <c r="C96">
        <v>29.3</v>
      </c>
      <c r="D96" t="s">
        <v>5</v>
      </c>
      <c r="E96" t="s">
        <v>8</v>
      </c>
      <c r="F96">
        <v>30</v>
      </c>
      <c r="G96" t="s">
        <v>9</v>
      </c>
      <c r="H96" t="s">
        <v>1</v>
      </c>
      <c r="I96">
        <v>2.4</v>
      </c>
      <c r="J96">
        <v>8</v>
      </c>
      <c r="K96" t="s">
        <v>6</v>
      </c>
      <c r="L96" t="s">
        <v>2</v>
      </c>
      <c r="M96" t="s">
        <v>6</v>
      </c>
      <c r="N96" t="s">
        <v>0</v>
      </c>
    </row>
    <row r="97" spans="1:14" x14ac:dyDescent="0.3">
      <c r="A97">
        <v>96</v>
      </c>
      <c r="B97">
        <v>39</v>
      </c>
      <c r="C97">
        <v>24.6</v>
      </c>
      <c r="D97" t="s">
        <v>5</v>
      </c>
      <c r="E97" t="s">
        <v>4</v>
      </c>
      <c r="F97">
        <v>45</v>
      </c>
      <c r="G97" t="s">
        <v>7</v>
      </c>
      <c r="H97" t="s">
        <v>2</v>
      </c>
      <c r="I97">
        <v>3.9</v>
      </c>
      <c r="J97">
        <v>8</v>
      </c>
      <c r="K97" t="s">
        <v>2</v>
      </c>
      <c r="L97" t="s">
        <v>1</v>
      </c>
      <c r="M97" t="s">
        <v>2</v>
      </c>
      <c r="N97" t="s">
        <v>0</v>
      </c>
    </row>
    <row r="98" spans="1:14" x14ac:dyDescent="0.3">
      <c r="A98">
        <v>97</v>
      </c>
      <c r="B98">
        <v>19</v>
      </c>
      <c r="C98">
        <v>31.5</v>
      </c>
      <c r="D98" t="s">
        <v>0</v>
      </c>
      <c r="E98" t="s">
        <v>4</v>
      </c>
      <c r="F98">
        <v>60</v>
      </c>
      <c r="G98" t="s">
        <v>9</v>
      </c>
      <c r="H98" t="s">
        <v>2</v>
      </c>
      <c r="I98">
        <v>3.6</v>
      </c>
      <c r="J98">
        <v>9</v>
      </c>
      <c r="K98" t="s">
        <v>2</v>
      </c>
      <c r="L98" t="s">
        <v>1</v>
      </c>
      <c r="M98" t="s">
        <v>2</v>
      </c>
      <c r="N98" t="s">
        <v>0</v>
      </c>
    </row>
    <row r="99" spans="1:14" x14ac:dyDescent="0.3">
      <c r="A99">
        <v>98</v>
      </c>
      <c r="B99">
        <v>28</v>
      </c>
      <c r="C99">
        <v>31.3</v>
      </c>
      <c r="D99" t="s">
        <v>0</v>
      </c>
      <c r="E99" t="s">
        <v>8</v>
      </c>
      <c r="F99">
        <v>15</v>
      </c>
      <c r="G99" t="s">
        <v>9</v>
      </c>
      <c r="H99" t="s">
        <v>1</v>
      </c>
      <c r="I99">
        <v>2.1</v>
      </c>
      <c r="J99">
        <v>6</v>
      </c>
      <c r="K99" t="s">
        <v>2</v>
      </c>
      <c r="L99" t="s">
        <v>1</v>
      </c>
      <c r="M99" t="s">
        <v>2</v>
      </c>
      <c r="N99" t="s">
        <v>0</v>
      </c>
    </row>
    <row r="100" spans="1:14" x14ac:dyDescent="0.3">
      <c r="A100">
        <v>99</v>
      </c>
      <c r="B100">
        <v>18</v>
      </c>
      <c r="C100">
        <v>24.4</v>
      </c>
      <c r="D100" t="s">
        <v>0</v>
      </c>
      <c r="E100" t="s">
        <v>8</v>
      </c>
      <c r="F100">
        <v>0</v>
      </c>
      <c r="G100" t="s">
        <v>9</v>
      </c>
      <c r="H100" t="s">
        <v>6</v>
      </c>
      <c r="I100">
        <v>1.6</v>
      </c>
      <c r="J100">
        <v>8</v>
      </c>
      <c r="K100" t="s">
        <v>1</v>
      </c>
      <c r="L100" t="s">
        <v>2</v>
      </c>
      <c r="M100" t="s">
        <v>1</v>
      </c>
      <c r="N100" t="s">
        <v>0</v>
      </c>
    </row>
    <row r="101" spans="1:14" x14ac:dyDescent="0.3">
      <c r="A101">
        <v>100</v>
      </c>
      <c r="B101">
        <v>33</v>
      </c>
      <c r="C101">
        <v>25.9</v>
      </c>
      <c r="D101" t="s">
        <v>5</v>
      </c>
      <c r="E101" t="s">
        <v>4</v>
      </c>
      <c r="F101">
        <v>45</v>
      </c>
      <c r="G101" t="s">
        <v>3</v>
      </c>
      <c r="H101" t="s">
        <v>2</v>
      </c>
      <c r="I101">
        <v>3.9</v>
      </c>
      <c r="J101">
        <v>5</v>
      </c>
      <c r="K101" t="s">
        <v>1</v>
      </c>
      <c r="L101" t="s">
        <v>1</v>
      </c>
      <c r="M101" t="s">
        <v>1</v>
      </c>
      <c r="N101" t="s">
        <v>5</v>
      </c>
    </row>
    <row r="102" spans="1:14" x14ac:dyDescent="0.3">
      <c r="A102">
        <v>101</v>
      </c>
      <c r="B102">
        <v>32</v>
      </c>
      <c r="C102">
        <v>29.1</v>
      </c>
      <c r="D102" t="s">
        <v>0</v>
      </c>
      <c r="E102" t="s">
        <v>4</v>
      </c>
      <c r="F102">
        <v>45</v>
      </c>
      <c r="G102" t="s">
        <v>7</v>
      </c>
      <c r="H102" t="s">
        <v>6</v>
      </c>
      <c r="I102">
        <v>3.2</v>
      </c>
      <c r="J102">
        <v>8</v>
      </c>
      <c r="K102" t="s">
        <v>1</v>
      </c>
      <c r="L102" t="s">
        <v>6</v>
      </c>
      <c r="M102" t="s">
        <v>2</v>
      </c>
      <c r="N102" t="s">
        <v>0</v>
      </c>
    </row>
    <row r="103" spans="1:14" x14ac:dyDescent="0.3">
      <c r="A103">
        <v>102</v>
      </c>
      <c r="B103">
        <v>28</v>
      </c>
      <c r="C103">
        <v>28.5</v>
      </c>
      <c r="D103" t="s">
        <v>0</v>
      </c>
      <c r="E103" t="s">
        <v>4</v>
      </c>
      <c r="F103">
        <v>30</v>
      </c>
      <c r="G103" t="s">
        <v>3</v>
      </c>
      <c r="H103" t="s">
        <v>1</v>
      </c>
      <c r="I103">
        <v>3</v>
      </c>
      <c r="J103">
        <v>7</v>
      </c>
      <c r="K103" t="s">
        <v>6</v>
      </c>
      <c r="L103" t="s">
        <v>1</v>
      </c>
      <c r="M103" t="s">
        <v>1</v>
      </c>
      <c r="N103" t="s">
        <v>5</v>
      </c>
    </row>
    <row r="104" spans="1:14" x14ac:dyDescent="0.3">
      <c r="A104">
        <v>103</v>
      </c>
      <c r="B104">
        <v>32</v>
      </c>
      <c r="C104">
        <v>26.8</v>
      </c>
      <c r="D104" t="s">
        <v>5</v>
      </c>
      <c r="E104" t="s">
        <v>4</v>
      </c>
      <c r="F104">
        <v>0</v>
      </c>
      <c r="G104" t="s">
        <v>3</v>
      </c>
      <c r="H104" t="s">
        <v>1</v>
      </c>
      <c r="I104">
        <v>3.7</v>
      </c>
      <c r="J104">
        <v>9</v>
      </c>
      <c r="K104" t="s">
        <v>1</v>
      </c>
      <c r="L104" t="s">
        <v>2</v>
      </c>
      <c r="M104" t="s">
        <v>6</v>
      </c>
      <c r="N104" t="s">
        <v>5</v>
      </c>
    </row>
    <row r="105" spans="1:14" x14ac:dyDescent="0.3">
      <c r="A105">
        <v>104</v>
      </c>
      <c r="B105">
        <v>25</v>
      </c>
      <c r="C105">
        <v>25.3</v>
      </c>
      <c r="D105" t="s">
        <v>5</v>
      </c>
      <c r="E105" t="s">
        <v>8</v>
      </c>
      <c r="F105">
        <v>45</v>
      </c>
      <c r="G105" t="s">
        <v>3</v>
      </c>
      <c r="H105" t="s">
        <v>2</v>
      </c>
      <c r="I105">
        <v>2.2999999999999998</v>
      </c>
      <c r="J105">
        <v>7</v>
      </c>
      <c r="K105" t="s">
        <v>1</v>
      </c>
      <c r="L105" t="s">
        <v>6</v>
      </c>
      <c r="M105" t="s">
        <v>6</v>
      </c>
      <c r="N105" t="s">
        <v>0</v>
      </c>
    </row>
    <row r="106" spans="1:14" x14ac:dyDescent="0.3">
      <c r="A106">
        <v>105</v>
      </c>
      <c r="B106">
        <v>39</v>
      </c>
      <c r="C106">
        <v>33.700000000000003</v>
      </c>
      <c r="D106" t="s">
        <v>0</v>
      </c>
      <c r="E106" t="s">
        <v>4</v>
      </c>
      <c r="F106">
        <v>0</v>
      </c>
      <c r="G106" t="s">
        <v>9</v>
      </c>
      <c r="H106" t="s">
        <v>6</v>
      </c>
      <c r="I106">
        <v>1.7</v>
      </c>
      <c r="J106">
        <v>7</v>
      </c>
      <c r="K106" t="s">
        <v>2</v>
      </c>
      <c r="L106" t="s">
        <v>1</v>
      </c>
      <c r="M106" t="s">
        <v>2</v>
      </c>
      <c r="N106" t="s">
        <v>5</v>
      </c>
    </row>
    <row r="107" spans="1:14" x14ac:dyDescent="0.3">
      <c r="A107">
        <v>106</v>
      </c>
      <c r="B107">
        <v>39</v>
      </c>
      <c r="C107">
        <v>20.5</v>
      </c>
      <c r="D107" t="s">
        <v>5</v>
      </c>
      <c r="E107" t="s">
        <v>8</v>
      </c>
      <c r="F107">
        <v>0</v>
      </c>
      <c r="G107" t="s">
        <v>7</v>
      </c>
      <c r="H107" t="s">
        <v>1</v>
      </c>
      <c r="I107">
        <v>2.2999999999999998</v>
      </c>
      <c r="J107">
        <v>5</v>
      </c>
      <c r="K107" t="s">
        <v>1</v>
      </c>
      <c r="L107" t="s">
        <v>1</v>
      </c>
      <c r="M107" t="s">
        <v>2</v>
      </c>
      <c r="N107" t="s">
        <v>0</v>
      </c>
    </row>
    <row r="108" spans="1:14" x14ac:dyDescent="0.3">
      <c r="A108">
        <v>107</v>
      </c>
      <c r="B108">
        <v>39</v>
      </c>
      <c r="C108">
        <v>26.5</v>
      </c>
      <c r="D108" t="s">
        <v>0</v>
      </c>
      <c r="E108" t="s">
        <v>8</v>
      </c>
      <c r="F108">
        <v>60</v>
      </c>
      <c r="G108" t="s">
        <v>7</v>
      </c>
      <c r="H108" t="s">
        <v>2</v>
      </c>
      <c r="I108">
        <v>3.4</v>
      </c>
      <c r="J108">
        <v>9</v>
      </c>
      <c r="K108" t="s">
        <v>2</v>
      </c>
      <c r="L108" t="s">
        <v>6</v>
      </c>
      <c r="M108" t="s">
        <v>1</v>
      </c>
      <c r="N108" t="s">
        <v>0</v>
      </c>
    </row>
    <row r="109" spans="1:14" x14ac:dyDescent="0.3">
      <c r="A109">
        <v>108</v>
      </c>
      <c r="B109">
        <v>37</v>
      </c>
      <c r="C109">
        <v>33.799999999999997</v>
      </c>
      <c r="D109" t="s">
        <v>5</v>
      </c>
      <c r="E109" t="s">
        <v>4</v>
      </c>
      <c r="F109">
        <v>15</v>
      </c>
      <c r="G109" t="s">
        <v>7</v>
      </c>
      <c r="H109" t="s">
        <v>1</v>
      </c>
      <c r="I109">
        <v>3.4</v>
      </c>
      <c r="J109">
        <v>7</v>
      </c>
      <c r="K109" t="s">
        <v>6</v>
      </c>
      <c r="L109" t="s">
        <v>2</v>
      </c>
      <c r="M109" t="s">
        <v>2</v>
      </c>
      <c r="N109" t="s">
        <v>0</v>
      </c>
    </row>
    <row r="110" spans="1:14" x14ac:dyDescent="0.3">
      <c r="A110">
        <v>109</v>
      </c>
      <c r="B110">
        <v>36</v>
      </c>
      <c r="C110">
        <v>29.3</v>
      </c>
      <c r="D110" t="s">
        <v>0</v>
      </c>
      <c r="E110" t="s">
        <v>4</v>
      </c>
      <c r="F110">
        <v>0</v>
      </c>
      <c r="G110" t="s">
        <v>9</v>
      </c>
      <c r="H110" t="s">
        <v>1</v>
      </c>
      <c r="I110">
        <v>2.8</v>
      </c>
      <c r="J110">
        <v>8</v>
      </c>
      <c r="K110" t="s">
        <v>6</v>
      </c>
      <c r="L110" t="s">
        <v>6</v>
      </c>
      <c r="M110" t="s">
        <v>6</v>
      </c>
      <c r="N110" t="s">
        <v>0</v>
      </c>
    </row>
    <row r="111" spans="1:14" x14ac:dyDescent="0.3">
      <c r="A111">
        <v>110</v>
      </c>
      <c r="B111">
        <v>29</v>
      </c>
      <c r="C111">
        <v>23.6</v>
      </c>
      <c r="D111" t="s">
        <v>5</v>
      </c>
      <c r="E111" t="s">
        <v>4</v>
      </c>
      <c r="F111">
        <v>0</v>
      </c>
      <c r="G111" t="s">
        <v>9</v>
      </c>
      <c r="H111" t="s">
        <v>2</v>
      </c>
      <c r="I111">
        <v>3.4</v>
      </c>
      <c r="J111">
        <v>5</v>
      </c>
      <c r="K111" t="s">
        <v>1</v>
      </c>
      <c r="L111" t="s">
        <v>2</v>
      </c>
      <c r="M111" t="s">
        <v>6</v>
      </c>
      <c r="N111" t="s">
        <v>5</v>
      </c>
    </row>
    <row r="112" spans="1:14" x14ac:dyDescent="0.3">
      <c r="A112">
        <v>111</v>
      </c>
      <c r="B112">
        <v>39</v>
      </c>
      <c r="C112">
        <v>25.5</v>
      </c>
      <c r="D112" t="s">
        <v>5</v>
      </c>
      <c r="E112" t="s">
        <v>8</v>
      </c>
      <c r="F112">
        <v>30</v>
      </c>
      <c r="G112" t="s">
        <v>9</v>
      </c>
      <c r="H112" t="s">
        <v>1</v>
      </c>
      <c r="I112">
        <v>1.8</v>
      </c>
      <c r="J112">
        <v>8</v>
      </c>
      <c r="K112" t="s">
        <v>2</v>
      </c>
      <c r="L112" t="s">
        <v>6</v>
      </c>
      <c r="M112" t="s">
        <v>1</v>
      </c>
      <c r="N112" t="s">
        <v>5</v>
      </c>
    </row>
    <row r="113" spans="1:14" x14ac:dyDescent="0.3">
      <c r="A113">
        <v>112</v>
      </c>
      <c r="B113">
        <v>34</v>
      </c>
      <c r="C113">
        <v>29.5</v>
      </c>
      <c r="D113" t="s">
        <v>0</v>
      </c>
      <c r="E113" t="s">
        <v>4</v>
      </c>
      <c r="F113">
        <v>45</v>
      </c>
      <c r="G113" t="s">
        <v>3</v>
      </c>
      <c r="H113" t="s">
        <v>2</v>
      </c>
      <c r="I113">
        <v>1.5</v>
      </c>
      <c r="J113">
        <v>7</v>
      </c>
      <c r="K113" t="s">
        <v>2</v>
      </c>
      <c r="L113" t="s">
        <v>2</v>
      </c>
      <c r="M113" t="s">
        <v>6</v>
      </c>
      <c r="N113" t="s">
        <v>5</v>
      </c>
    </row>
    <row r="114" spans="1:14" x14ac:dyDescent="0.3">
      <c r="A114">
        <v>113</v>
      </c>
      <c r="B114">
        <v>28</v>
      </c>
      <c r="C114">
        <v>20.5</v>
      </c>
      <c r="D114" t="s">
        <v>5</v>
      </c>
      <c r="E114" t="s">
        <v>8</v>
      </c>
      <c r="F114">
        <v>15</v>
      </c>
      <c r="G114" t="s">
        <v>9</v>
      </c>
      <c r="H114" t="s">
        <v>6</v>
      </c>
      <c r="I114">
        <v>2.8</v>
      </c>
      <c r="J114">
        <v>6</v>
      </c>
      <c r="K114" t="s">
        <v>1</v>
      </c>
      <c r="L114" t="s">
        <v>1</v>
      </c>
      <c r="M114" t="s">
        <v>1</v>
      </c>
      <c r="N114" t="s">
        <v>5</v>
      </c>
    </row>
    <row r="115" spans="1:14" x14ac:dyDescent="0.3">
      <c r="A115">
        <v>114</v>
      </c>
      <c r="B115">
        <v>20</v>
      </c>
      <c r="C115">
        <v>25.1</v>
      </c>
      <c r="D115" t="s">
        <v>0</v>
      </c>
      <c r="E115" t="s">
        <v>8</v>
      </c>
      <c r="F115">
        <v>0</v>
      </c>
      <c r="G115" t="s">
        <v>7</v>
      </c>
      <c r="H115" t="s">
        <v>2</v>
      </c>
      <c r="I115">
        <v>3.7</v>
      </c>
      <c r="J115">
        <v>9</v>
      </c>
      <c r="K115" t="s">
        <v>6</v>
      </c>
      <c r="L115" t="s">
        <v>1</v>
      </c>
      <c r="M115" t="s">
        <v>6</v>
      </c>
      <c r="N115" t="s">
        <v>5</v>
      </c>
    </row>
    <row r="116" spans="1:14" x14ac:dyDescent="0.3">
      <c r="A116">
        <v>115</v>
      </c>
      <c r="B116">
        <v>27</v>
      </c>
      <c r="C116">
        <v>20.399999999999999</v>
      </c>
      <c r="D116" t="s">
        <v>0</v>
      </c>
      <c r="E116" t="s">
        <v>8</v>
      </c>
      <c r="F116">
        <v>15</v>
      </c>
      <c r="G116" t="s">
        <v>3</v>
      </c>
      <c r="H116" t="s">
        <v>6</v>
      </c>
      <c r="I116">
        <v>3.6</v>
      </c>
      <c r="J116">
        <v>7</v>
      </c>
      <c r="K116" t="s">
        <v>2</v>
      </c>
      <c r="L116" t="s">
        <v>6</v>
      </c>
      <c r="M116" t="s">
        <v>2</v>
      </c>
      <c r="N116" t="s">
        <v>0</v>
      </c>
    </row>
    <row r="117" spans="1:14" x14ac:dyDescent="0.3">
      <c r="A117">
        <v>116</v>
      </c>
      <c r="B117">
        <v>31</v>
      </c>
      <c r="C117">
        <v>28.2</v>
      </c>
      <c r="D117" t="s">
        <v>0</v>
      </c>
      <c r="E117" t="s">
        <v>8</v>
      </c>
      <c r="F117">
        <v>30</v>
      </c>
      <c r="G117" t="s">
        <v>3</v>
      </c>
      <c r="H117" t="s">
        <v>6</v>
      </c>
      <c r="I117">
        <v>2.1</v>
      </c>
      <c r="J117">
        <v>6</v>
      </c>
      <c r="K117" t="s">
        <v>2</v>
      </c>
      <c r="L117" t="s">
        <v>1</v>
      </c>
      <c r="M117" t="s">
        <v>1</v>
      </c>
      <c r="N117" t="s">
        <v>0</v>
      </c>
    </row>
    <row r="118" spans="1:14" x14ac:dyDescent="0.3">
      <c r="A118">
        <v>117</v>
      </c>
      <c r="B118">
        <v>34</v>
      </c>
      <c r="C118">
        <v>26.9</v>
      </c>
      <c r="D118" t="s">
        <v>5</v>
      </c>
      <c r="E118" t="s">
        <v>8</v>
      </c>
      <c r="F118">
        <v>15</v>
      </c>
      <c r="G118" t="s">
        <v>9</v>
      </c>
      <c r="H118" t="s">
        <v>2</v>
      </c>
      <c r="I118">
        <v>1.9</v>
      </c>
      <c r="J118">
        <v>6</v>
      </c>
      <c r="K118" t="s">
        <v>2</v>
      </c>
      <c r="L118" t="s">
        <v>1</v>
      </c>
      <c r="M118" t="s">
        <v>2</v>
      </c>
      <c r="N118" t="s">
        <v>0</v>
      </c>
    </row>
    <row r="119" spans="1:14" x14ac:dyDescent="0.3">
      <c r="A119">
        <v>118</v>
      </c>
      <c r="B119">
        <v>23</v>
      </c>
      <c r="C119">
        <v>34.200000000000003</v>
      </c>
      <c r="D119" t="s">
        <v>5</v>
      </c>
      <c r="E119" t="s">
        <v>8</v>
      </c>
      <c r="F119">
        <v>60</v>
      </c>
      <c r="G119" t="s">
        <v>3</v>
      </c>
      <c r="H119" t="s">
        <v>6</v>
      </c>
      <c r="I119">
        <v>3.2</v>
      </c>
      <c r="J119">
        <v>9</v>
      </c>
      <c r="K119" t="s">
        <v>1</v>
      </c>
      <c r="L119" t="s">
        <v>1</v>
      </c>
      <c r="M119" t="s">
        <v>1</v>
      </c>
      <c r="N119" t="s">
        <v>5</v>
      </c>
    </row>
    <row r="120" spans="1:14" x14ac:dyDescent="0.3">
      <c r="A120">
        <v>119</v>
      </c>
      <c r="B120">
        <v>38</v>
      </c>
      <c r="C120">
        <v>23.7</v>
      </c>
      <c r="D120" t="s">
        <v>5</v>
      </c>
      <c r="E120" t="s">
        <v>4</v>
      </c>
      <c r="F120">
        <v>45</v>
      </c>
      <c r="G120" t="s">
        <v>7</v>
      </c>
      <c r="H120" t="s">
        <v>1</v>
      </c>
      <c r="I120">
        <v>2.2999999999999998</v>
      </c>
      <c r="J120">
        <v>7</v>
      </c>
      <c r="K120" t="s">
        <v>1</v>
      </c>
      <c r="L120" t="s">
        <v>2</v>
      </c>
      <c r="M120" t="s">
        <v>6</v>
      </c>
      <c r="N120" t="s">
        <v>0</v>
      </c>
    </row>
    <row r="121" spans="1:14" x14ac:dyDescent="0.3">
      <c r="A121">
        <v>120</v>
      </c>
      <c r="B121">
        <v>27</v>
      </c>
      <c r="C121">
        <v>26.1</v>
      </c>
      <c r="D121" t="s">
        <v>0</v>
      </c>
      <c r="E121" t="s">
        <v>4</v>
      </c>
      <c r="F121">
        <v>30</v>
      </c>
      <c r="G121" t="s">
        <v>7</v>
      </c>
      <c r="H121" t="s">
        <v>2</v>
      </c>
      <c r="I121">
        <v>3.1</v>
      </c>
      <c r="J121">
        <v>5</v>
      </c>
      <c r="K121" t="s">
        <v>1</v>
      </c>
      <c r="L121" t="s">
        <v>1</v>
      </c>
      <c r="M121" t="s">
        <v>1</v>
      </c>
      <c r="N121" t="s">
        <v>5</v>
      </c>
    </row>
    <row r="122" spans="1:14" x14ac:dyDescent="0.3">
      <c r="A122">
        <v>121</v>
      </c>
      <c r="B122">
        <v>32</v>
      </c>
      <c r="C122">
        <v>28.1</v>
      </c>
      <c r="D122" t="s">
        <v>0</v>
      </c>
      <c r="E122" t="s">
        <v>8</v>
      </c>
      <c r="F122">
        <v>60</v>
      </c>
      <c r="G122" t="s">
        <v>3</v>
      </c>
      <c r="H122" t="s">
        <v>2</v>
      </c>
      <c r="I122">
        <v>2.2999999999999998</v>
      </c>
      <c r="J122">
        <v>8</v>
      </c>
      <c r="K122" t="s">
        <v>1</v>
      </c>
      <c r="L122" t="s">
        <v>2</v>
      </c>
      <c r="M122" t="s">
        <v>2</v>
      </c>
      <c r="N122" t="s">
        <v>5</v>
      </c>
    </row>
    <row r="123" spans="1:14" x14ac:dyDescent="0.3">
      <c r="A123">
        <v>122</v>
      </c>
      <c r="B123">
        <v>21</v>
      </c>
      <c r="C123">
        <v>31.9</v>
      </c>
      <c r="D123" t="s">
        <v>5</v>
      </c>
      <c r="E123" t="s">
        <v>4</v>
      </c>
      <c r="F123">
        <v>60</v>
      </c>
      <c r="G123" t="s">
        <v>3</v>
      </c>
      <c r="H123" t="s">
        <v>2</v>
      </c>
      <c r="I123">
        <v>1.6</v>
      </c>
      <c r="J123">
        <v>8</v>
      </c>
      <c r="K123" t="s">
        <v>6</v>
      </c>
      <c r="L123" t="s">
        <v>1</v>
      </c>
      <c r="M123" t="s">
        <v>1</v>
      </c>
      <c r="N123" t="s">
        <v>0</v>
      </c>
    </row>
    <row r="124" spans="1:14" x14ac:dyDescent="0.3">
      <c r="A124">
        <v>123</v>
      </c>
      <c r="B124">
        <v>29</v>
      </c>
      <c r="C124">
        <v>24.7</v>
      </c>
      <c r="D124" t="s">
        <v>5</v>
      </c>
      <c r="E124" t="s">
        <v>8</v>
      </c>
      <c r="F124">
        <v>45</v>
      </c>
      <c r="G124" t="s">
        <v>7</v>
      </c>
      <c r="H124" t="s">
        <v>1</v>
      </c>
      <c r="I124">
        <v>3</v>
      </c>
      <c r="J124">
        <v>7</v>
      </c>
      <c r="K124" t="s">
        <v>2</v>
      </c>
      <c r="L124" t="s">
        <v>6</v>
      </c>
      <c r="M124" t="s">
        <v>2</v>
      </c>
      <c r="N124" t="s">
        <v>5</v>
      </c>
    </row>
    <row r="125" spans="1:14" x14ac:dyDescent="0.3">
      <c r="A125">
        <v>124</v>
      </c>
      <c r="B125">
        <v>27</v>
      </c>
      <c r="C125">
        <v>22.7</v>
      </c>
      <c r="D125" t="s">
        <v>0</v>
      </c>
      <c r="E125" t="s">
        <v>8</v>
      </c>
      <c r="F125">
        <v>0</v>
      </c>
      <c r="G125" t="s">
        <v>3</v>
      </c>
      <c r="H125" t="s">
        <v>1</v>
      </c>
      <c r="I125">
        <v>1.9</v>
      </c>
      <c r="J125">
        <v>7</v>
      </c>
      <c r="K125" t="s">
        <v>6</v>
      </c>
      <c r="L125" t="s">
        <v>1</v>
      </c>
      <c r="M125" t="s">
        <v>1</v>
      </c>
      <c r="N125" t="s">
        <v>5</v>
      </c>
    </row>
    <row r="126" spans="1:14" x14ac:dyDescent="0.3">
      <c r="A126">
        <v>125</v>
      </c>
      <c r="B126">
        <v>22</v>
      </c>
      <c r="C126">
        <v>28.3</v>
      </c>
      <c r="D126" t="s">
        <v>0</v>
      </c>
      <c r="E126" t="s">
        <v>8</v>
      </c>
      <c r="F126">
        <v>60</v>
      </c>
      <c r="G126" t="s">
        <v>7</v>
      </c>
      <c r="H126" t="s">
        <v>1</v>
      </c>
      <c r="I126">
        <v>3.5</v>
      </c>
      <c r="J126">
        <v>6</v>
      </c>
      <c r="K126" t="s">
        <v>1</v>
      </c>
      <c r="L126" t="s">
        <v>1</v>
      </c>
      <c r="M126" t="s">
        <v>1</v>
      </c>
      <c r="N126" t="s">
        <v>0</v>
      </c>
    </row>
    <row r="127" spans="1:14" x14ac:dyDescent="0.3">
      <c r="A127">
        <v>126</v>
      </c>
      <c r="B127">
        <v>38</v>
      </c>
      <c r="C127">
        <v>29.6</v>
      </c>
      <c r="D127" t="s">
        <v>5</v>
      </c>
      <c r="E127" t="s">
        <v>4</v>
      </c>
      <c r="F127">
        <v>30</v>
      </c>
      <c r="G127" t="s">
        <v>7</v>
      </c>
      <c r="H127" t="s">
        <v>2</v>
      </c>
      <c r="I127">
        <v>3.9</v>
      </c>
      <c r="J127">
        <v>7</v>
      </c>
      <c r="K127" t="s">
        <v>6</v>
      </c>
      <c r="L127" t="s">
        <v>2</v>
      </c>
      <c r="M127" t="s">
        <v>2</v>
      </c>
      <c r="N127" t="s">
        <v>0</v>
      </c>
    </row>
    <row r="128" spans="1:14" x14ac:dyDescent="0.3">
      <c r="A128">
        <v>127</v>
      </c>
      <c r="B128">
        <v>22</v>
      </c>
      <c r="C128">
        <v>19.8</v>
      </c>
      <c r="D128" t="s">
        <v>0</v>
      </c>
      <c r="E128" t="s">
        <v>4</v>
      </c>
      <c r="F128">
        <v>30</v>
      </c>
      <c r="G128" t="s">
        <v>3</v>
      </c>
      <c r="H128" t="s">
        <v>2</v>
      </c>
      <c r="I128">
        <v>3</v>
      </c>
      <c r="J128">
        <v>6</v>
      </c>
      <c r="K128" t="s">
        <v>2</v>
      </c>
      <c r="L128" t="s">
        <v>2</v>
      </c>
      <c r="M128" t="s">
        <v>1</v>
      </c>
      <c r="N128" t="s">
        <v>0</v>
      </c>
    </row>
    <row r="129" spans="1:14" x14ac:dyDescent="0.3">
      <c r="A129">
        <v>128</v>
      </c>
      <c r="B129">
        <v>32</v>
      </c>
      <c r="C129">
        <v>19.2</v>
      </c>
      <c r="D129" t="s">
        <v>5</v>
      </c>
      <c r="E129" t="s">
        <v>4</v>
      </c>
      <c r="F129">
        <v>45</v>
      </c>
      <c r="G129" t="s">
        <v>3</v>
      </c>
      <c r="H129" t="s">
        <v>6</v>
      </c>
      <c r="I129">
        <v>3.4</v>
      </c>
      <c r="J129">
        <v>8</v>
      </c>
      <c r="K129" t="s">
        <v>2</v>
      </c>
      <c r="L129" t="s">
        <v>1</v>
      </c>
      <c r="M129" t="s">
        <v>2</v>
      </c>
      <c r="N129" t="s">
        <v>5</v>
      </c>
    </row>
    <row r="130" spans="1:14" x14ac:dyDescent="0.3">
      <c r="A130">
        <v>129</v>
      </c>
      <c r="B130">
        <v>33</v>
      </c>
      <c r="C130">
        <v>33.4</v>
      </c>
      <c r="D130" t="s">
        <v>0</v>
      </c>
      <c r="E130" t="s">
        <v>8</v>
      </c>
      <c r="F130">
        <v>60</v>
      </c>
      <c r="G130" t="s">
        <v>7</v>
      </c>
      <c r="H130" t="s">
        <v>6</v>
      </c>
      <c r="I130">
        <v>3.4</v>
      </c>
      <c r="J130">
        <v>8</v>
      </c>
      <c r="K130" t="s">
        <v>1</v>
      </c>
      <c r="L130" t="s">
        <v>1</v>
      </c>
      <c r="M130" t="s">
        <v>6</v>
      </c>
      <c r="N130" t="s">
        <v>0</v>
      </c>
    </row>
    <row r="131" spans="1:14" x14ac:dyDescent="0.3">
      <c r="A131">
        <v>130</v>
      </c>
      <c r="B131">
        <v>24</v>
      </c>
      <c r="C131">
        <v>31.7</v>
      </c>
      <c r="D131" t="s">
        <v>0</v>
      </c>
      <c r="E131" t="s">
        <v>8</v>
      </c>
      <c r="F131">
        <v>0</v>
      </c>
      <c r="G131" t="s">
        <v>3</v>
      </c>
      <c r="H131" t="s">
        <v>6</v>
      </c>
      <c r="I131">
        <v>3.7</v>
      </c>
      <c r="J131">
        <v>9</v>
      </c>
      <c r="K131" t="s">
        <v>2</v>
      </c>
      <c r="L131" t="s">
        <v>1</v>
      </c>
      <c r="M131" t="s">
        <v>1</v>
      </c>
      <c r="N131" t="s">
        <v>0</v>
      </c>
    </row>
    <row r="132" spans="1:14" x14ac:dyDescent="0.3">
      <c r="A132">
        <v>131</v>
      </c>
      <c r="B132">
        <v>27</v>
      </c>
      <c r="C132">
        <v>19.899999999999999</v>
      </c>
      <c r="D132" t="s">
        <v>0</v>
      </c>
      <c r="E132" t="s">
        <v>8</v>
      </c>
      <c r="F132">
        <v>45</v>
      </c>
      <c r="G132" t="s">
        <v>3</v>
      </c>
      <c r="H132" t="s">
        <v>2</v>
      </c>
      <c r="I132">
        <v>3.6</v>
      </c>
      <c r="J132">
        <v>5</v>
      </c>
      <c r="K132" t="s">
        <v>2</v>
      </c>
      <c r="L132" t="s">
        <v>6</v>
      </c>
      <c r="M132" t="s">
        <v>6</v>
      </c>
      <c r="N132" t="s">
        <v>0</v>
      </c>
    </row>
    <row r="133" spans="1:14" x14ac:dyDescent="0.3">
      <c r="A133">
        <v>132</v>
      </c>
      <c r="B133">
        <v>31</v>
      </c>
      <c r="C133">
        <v>19.399999999999999</v>
      </c>
      <c r="D133" t="s">
        <v>5</v>
      </c>
      <c r="E133" t="s">
        <v>4</v>
      </c>
      <c r="F133">
        <v>45</v>
      </c>
      <c r="G133" t="s">
        <v>9</v>
      </c>
      <c r="H133" t="s">
        <v>6</v>
      </c>
      <c r="I133">
        <v>2.1</v>
      </c>
      <c r="J133">
        <v>7</v>
      </c>
      <c r="K133" t="s">
        <v>2</v>
      </c>
      <c r="L133" t="s">
        <v>1</v>
      </c>
      <c r="M133" t="s">
        <v>1</v>
      </c>
      <c r="N133" t="s">
        <v>5</v>
      </c>
    </row>
    <row r="134" spans="1:14" x14ac:dyDescent="0.3">
      <c r="A134">
        <v>133</v>
      </c>
      <c r="B134">
        <v>22</v>
      </c>
      <c r="C134">
        <v>20.8</v>
      </c>
      <c r="D134" t="s">
        <v>5</v>
      </c>
      <c r="E134" t="s">
        <v>8</v>
      </c>
      <c r="F134">
        <v>15</v>
      </c>
      <c r="G134" t="s">
        <v>3</v>
      </c>
      <c r="H134" t="s">
        <v>6</v>
      </c>
      <c r="I134">
        <v>2.6</v>
      </c>
      <c r="J134">
        <v>5</v>
      </c>
      <c r="K134" t="s">
        <v>2</v>
      </c>
      <c r="L134" t="s">
        <v>2</v>
      </c>
      <c r="M134" t="s">
        <v>6</v>
      </c>
      <c r="N134" t="s">
        <v>0</v>
      </c>
    </row>
    <row r="135" spans="1:14" x14ac:dyDescent="0.3">
      <c r="A135">
        <v>134</v>
      </c>
      <c r="B135">
        <v>22</v>
      </c>
      <c r="C135">
        <v>27.6</v>
      </c>
      <c r="D135" t="s">
        <v>5</v>
      </c>
      <c r="E135" t="s">
        <v>4</v>
      </c>
      <c r="F135">
        <v>30</v>
      </c>
      <c r="G135" t="s">
        <v>9</v>
      </c>
      <c r="H135" t="s">
        <v>6</v>
      </c>
      <c r="I135">
        <v>1.8</v>
      </c>
      <c r="J135">
        <v>6</v>
      </c>
      <c r="K135" t="s">
        <v>6</v>
      </c>
      <c r="L135" t="s">
        <v>1</v>
      </c>
      <c r="M135" t="s">
        <v>1</v>
      </c>
      <c r="N135" t="s">
        <v>5</v>
      </c>
    </row>
    <row r="136" spans="1:14" x14ac:dyDescent="0.3">
      <c r="A136">
        <v>135</v>
      </c>
      <c r="B136">
        <v>20</v>
      </c>
      <c r="C136">
        <v>20.3</v>
      </c>
      <c r="D136" t="s">
        <v>5</v>
      </c>
      <c r="E136" t="s">
        <v>4</v>
      </c>
      <c r="F136">
        <v>60</v>
      </c>
      <c r="G136" t="s">
        <v>3</v>
      </c>
      <c r="H136" t="s">
        <v>2</v>
      </c>
      <c r="I136">
        <v>3.3</v>
      </c>
      <c r="J136">
        <v>7</v>
      </c>
      <c r="K136" t="s">
        <v>6</v>
      </c>
      <c r="L136" t="s">
        <v>2</v>
      </c>
      <c r="M136" t="s">
        <v>1</v>
      </c>
      <c r="N136" t="s">
        <v>5</v>
      </c>
    </row>
    <row r="137" spans="1:14" x14ac:dyDescent="0.3">
      <c r="A137">
        <v>136</v>
      </c>
      <c r="B137">
        <v>25</v>
      </c>
      <c r="C137">
        <v>27.9</v>
      </c>
      <c r="D137" t="s">
        <v>0</v>
      </c>
      <c r="E137" t="s">
        <v>4</v>
      </c>
      <c r="F137">
        <v>60</v>
      </c>
      <c r="G137" t="s">
        <v>7</v>
      </c>
      <c r="H137" t="s">
        <v>2</v>
      </c>
      <c r="I137">
        <v>3.9</v>
      </c>
      <c r="J137">
        <v>9</v>
      </c>
      <c r="K137" t="s">
        <v>1</v>
      </c>
      <c r="L137" t="s">
        <v>1</v>
      </c>
      <c r="M137" t="s">
        <v>1</v>
      </c>
      <c r="N137" t="s">
        <v>0</v>
      </c>
    </row>
    <row r="138" spans="1:14" x14ac:dyDescent="0.3">
      <c r="A138">
        <v>137</v>
      </c>
      <c r="B138">
        <v>30</v>
      </c>
      <c r="C138">
        <v>32.9</v>
      </c>
      <c r="D138" t="s">
        <v>0</v>
      </c>
      <c r="E138" t="s">
        <v>8</v>
      </c>
      <c r="F138">
        <v>30</v>
      </c>
      <c r="G138" t="s">
        <v>7</v>
      </c>
      <c r="H138" t="s">
        <v>1</v>
      </c>
      <c r="I138">
        <v>1.5</v>
      </c>
      <c r="J138">
        <v>5</v>
      </c>
      <c r="K138" t="s">
        <v>6</v>
      </c>
      <c r="L138" t="s">
        <v>2</v>
      </c>
      <c r="M138" t="s">
        <v>1</v>
      </c>
      <c r="N138" t="s">
        <v>0</v>
      </c>
    </row>
    <row r="139" spans="1:14" x14ac:dyDescent="0.3">
      <c r="A139">
        <v>138</v>
      </c>
      <c r="B139">
        <v>36</v>
      </c>
      <c r="C139">
        <v>30.6</v>
      </c>
      <c r="D139" t="s">
        <v>5</v>
      </c>
      <c r="E139" t="s">
        <v>4</v>
      </c>
      <c r="F139">
        <v>0</v>
      </c>
      <c r="G139" t="s">
        <v>7</v>
      </c>
      <c r="H139" t="s">
        <v>1</v>
      </c>
      <c r="I139">
        <v>2.2999999999999998</v>
      </c>
      <c r="J139">
        <v>6</v>
      </c>
      <c r="K139" t="s">
        <v>1</v>
      </c>
      <c r="L139" t="s">
        <v>6</v>
      </c>
      <c r="M139" t="s">
        <v>1</v>
      </c>
      <c r="N139" t="s">
        <v>5</v>
      </c>
    </row>
    <row r="140" spans="1:14" x14ac:dyDescent="0.3">
      <c r="A140">
        <v>139</v>
      </c>
      <c r="B140">
        <v>38</v>
      </c>
      <c r="C140">
        <v>21.5</v>
      </c>
      <c r="D140" t="s">
        <v>0</v>
      </c>
      <c r="E140" t="s">
        <v>4</v>
      </c>
      <c r="F140">
        <v>45</v>
      </c>
      <c r="G140" t="s">
        <v>9</v>
      </c>
      <c r="H140" t="s">
        <v>6</v>
      </c>
      <c r="I140">
        <v>2</v>
      </c>
      <c r="J140">
        <v>6</v>
      </c>
      <c r="K140" t="s">
        <v>2</v>
      </c>
      <c r="L140" t="s">
        <v>6</v>
      </c>
      <c r="M140" t="s">
        <v>6</v>
      </c>
      <c r="N140" t="s">
        <v>5</v>
      </c>
    </row>
    <row r="141" spans="1:14" x14ac:dyDescent="0.3">
      <c r="A141">
        <v>140</v>
      </c>
      <c r="B141">
        <v>35</v>
      </c>
      <c r="C141">
        <v>26.3</v>
      </c>
      <c r="D141" t="s">
        <v>0</v>
      </c>
      <c r="E141" t="s">
        <v>4</v>
      </c>
      <c r="F141">
        <v>30</v>
      </c>
      <c r="G141" t="s">
        <v>7</v>
      </c>
      <c r="H141" t="s">
        <v>2</v>
      </c>
      <c r="I141">
        <v>3.7</v>
      </c>
      <c r="J141">
        <v>7</v>
      </c>
      <c r="K141" t="s">
        <v>6</v>
      </c>
      <c r="L141" t="s">
        <v>2</v>
      </c>
      <c r="M141" t="s">
        <v>6</v>
      </c>
      <c r="N141" t="s">
        <v>5</v>
      </c>
    </row>
    <row r="142" spans="1:14" x14ac:dyDescent="0.3">
      <c r="A142">
        <v>141</v>
      </c>
      <c r="B142">
        <v>30</v>
      </c>
      <c r="C142">
        <v>30.8</v>
      </c>
      <c r="D142" t="s">
        <v>5</v>
      </c>
      <c r="E142" t="s">
        <v>8</v>
      </c>
      <c r="F142">
        <v>15</v>
      </c>
      <c r="G142" t="s">
        <v>7</v>
      </c>
      <c r="H142" t="s">
        <v>1</v>
      </c>
      <c r="I142">
        <v>2.7</v>
      </c>
      <c r="J142">
        <v>9</v>
      </c>
      <c r="K142" t="s">
        <v>6</v>
      </c>
      <c r="L142" t="s">
        <v>2</v>
      </c>
      <c r="M142" t="s">
        <v>1</v>
      </c>
      <c r="N142" t="s">
        <v>5</v>
      </c>
    </row>
    <row r="143" spans="1:14" x14ac:dyDescent="0.3">
      <c r="A143">
        <v>142</v>
      </c>
      <c r="B143">
        <v>20</v>
      </c>
      <c r="C143">
        <v>25.6</v>
      </c>
      <c r="D143" t="s">
        <v>0</v>
      </c>
      <c r="E143" t="s">
        <v>8</v>
      </c>
      <c r="F143">
        <v>30</v>
      </c>
      <c r="G143" t="s">
        <v>9</v>
      </c>
      <c r="H143" t="s">
        <v>2</v>
      </c>
      <c r="I143">
        <v>2.2999999999999998</v>
      </c>
      <c r="J143">
        <v>7</v>
      </c>
      <c r="K143" t="s">
        <v>6</v>
      </c>
      <c r="L143" t="s">
        <v>6</v>
      </c>
      <c r="M143" t="s">
        <v>1</v>
      </c>
      <c r="N143" t="s">
        <v>5</v>
      </c>
    </row>
    <row r="144" spans="1:14" x14ac:dyDescent="0.3">
      <c r="A144">
        <v>143</v>
      </c>
      <c r="B144">
        <v>23</v>
      </c>
      <c r="C144">
        <v>29.9</v>
      </c>
      <c r="D144" t="s">
        <v>5</v>
      </c>
      <c r="E144" t="s">
        <v>8</v>
      </c>
      <c r="F144">
        <v>0</v>
      </c>
      <c r="G144" t="s">
        <v>3</v>
      </c>
      <c r="H144" t="s">
        <v>6</v>
      </c>
      <c r="I144">
        <v>3</v>
      </c>
      <c r="J144">
        <v>8</v>
      </c>
      <c r="K144" t="s">
        <v>6</v>
      </c>
      <c r="L144" t="s">
        <v>1</v>
      </c>
      <c r="M144" t="s">
        <v>2</v>
      </c>
      <c r="N144" t="s">
        <v>0</v>
      </c>
    </row>
    <row r="145" spans="1:14" x14ac:dyDescent="0.3">
      <c r="A145">
        <v>144</v>
      </c>
      <c r="B145">
        <v>39</v>
      </c>
      <c r="C145">
        <v>29</v>
      </c>
      <c r="D145" t="s">
        <v>5</v>
      </c>
      <c r="E145" t="s">
        <v>4</v>
      </c>
      <c r="F145">
        <v>0</v>
      </c>
      <c r="G145" t="s">
        <v>9</v>
      </c>
      <c r="H145" t="s">
        <v>1</v>
      </c>
      <c r="I145">
        <v>3.2</v>
      </c>
      <c r="J145">
        <v>8</v>
      </c>
      <c r="K145" t="s">
        <v>2</v>
      </c>
      <c r="L145" t="s">
        <v>2</v>
      </c>
      <c r="M145" t="s">
        <v>2</v>
      </c>
      <c r="N145" t="s">
        <v>0</v>
      </c>
    </row>
    <row r="146" spans="1:14" x14ac:dyDescent="0.3">
      <c r="A146">
        <v>145</v>
      </c>
      <c r="B146">
        <v>38</v>
      </c>
      <c r="C146">
        <v>24.5</v>
      </c>
      <c r="D146" t="s">
        <v>5</v>
      </c>
      <c r="E146" t="s">
        <v>4</v>
      </c>
      <c r="F146">
        <v>60</v>
      </c>
      <c r="G146" t="s">
        <v>9</v>
      </c>
      <c r="H146" t="s">
        <v>1</v>
      </c>
      <c r="I146">
        <v>2.6</v>
      </c>
      <c r="J146">
        <v>7</v>
      </c>
      <c r="K146" t="s">
        <v>6</v>
      </c>
      <c r="L146" t="s">
        <v>6</v>
      </c>
      <c r="M146" t="s">
        <v>2</v>
      </c>
      <c r="N146" t="s">
        <v>0</v>
      </c>
    </row>
    <row r="147" spans="1:14" x14ac:dyDescent="0.3">
      <c r="A147">
        <v>146</v>
      </c>
      <c r="B147">
        <v>34</v>
      </c>
      <c r="C147">
        <v>24.6</v>
      </c>
      <c r="D147" t="s">
        <v>5</v>
      </c>
      <c r="E147" t="s">
        <v>8</v>
      </c>
      <c r="F147">
        <v>15</v>
      </c>
      <c r="G147" t="s">
        <v>9</v>
      </c>
      <c r="H147" t="s">
        <v>2</v>
      </c>
      <c r="I147">
        <v>3.3</v>
      </c>
      <c r="J147">
        <v>8</v>
      </c>
      <c r="K147" t="s">
        <v>1</v>
      </c>
      <c r="L147" t="s">
        <v>6</v>
      </c>
      <c r="M147" t="s">
        <v>1</v>
      </c>
      <c r="N147" t="s">
        <v>0</v>
      </c>
    </row>
    <row r="148" spans="1:14" x14ac:dyDescent="0.3">
      <c r="A148">
        <v>147</v>
      </c>
      <c r="B148">
        <v>26</v>
      </c>
      <c r="C148">
        <v>31.3</v>
      </c>
      <c r="D148" t="s">
        <v>5</v>
      </c>
      <c r="E148" t="s">
        <v>4</v>
      </c>
      <c r="F148">
        <v>60</v>
      </c>
      <c r="G148" t="s">
        <v>7</v>
      </c>
      <c r="H148" t="s">
        <v>1</v>
      </c>
      <c r="I148">
        <v>3.8</v>
      </c>
      <c r="J148">
        <v>8</v>
      </c>
      <c r="K148" t="s">
        <v>2</v>
      </c>
      <c r="L148" t="s">
        <v>2</v>
      </c>
      <c r="M148" t="s">
        <v>2</v>
      </c>
      <c r="N148" t="s">
        <v>0</v>
      </c>
    </row>
    <row r="149" spans="1:14" x14ac:dyDescent="0.3">
      <c r="A149">
        <v>148</v>
      </c>
      <c r="B149">
        <v>32</v>
      </c>
      <c r="C149">
        <v>21.3</v>
      </c>
      <c r="D149" t="s">
        <v>5</v>
      </c>
      <c r="E149" t="s">
        <v>4</v>
      </c>
      <c r="F149">
        <v>30</v>
      </c>
      <c r="G149" t="s">
        <v>3</v>
      </c>
      <c r="H149" t="s">
        <v>6</v>
      </c>
      <c r="I149">
        <v>3.3</v>
      </c>
      <c r="J149">
        <v>9</v>
      </c>
      <c r="K149" t="s">
        <v>1</v>
      </c>
      <c r="L149" t="s">
        <v>6</v>
      </c>
      <c r="M149" t="s">
        <v>6</v>
      </c>
      <c r="N149" t="s">
        <v>0</v>
      </c>
    </row>
    <row r="150" spans="1:14" x14ac:dyDescent="0.3">
      <c r="A150">
        <v>149</v>
      </c>
      <c r="B150">
        <v>40</v>
      </c>
      <c r="C150">
        <v>30.2</v>
      </c>
      <c r="D150" t="s">
        <v>0</v>
      </c>
      <c r="E150" t="s">
        <v>8</v>
      </c>
      <c r="F150">
        <v>60</v>
      </c>
      <c r="G150" t="s">
        <v>9</v>
      </c>
      <c r="H150" t="s">
        <v>2</v>
      </c>
      <c r="I150">
        <v>4</v>
      </c>
      <c r="J150">
        <v>6</v>
      </c>
      <c r="K150" t="s">
        <v>2</v>
      </c>
      <c r="L150" t="s">
        <v>6</v>
      </c>
      <c r="M150" t="s">
        <v>2</v>
      </c>
      <c r="N150" t="s">
        <v>5</v>
      </c>
    </row>
    <row r="151" spans="1:14" x14ac:dyDescent="0.3">
      <c r="A151">
        <v>150</v>
      </c>
      <c r="B151">
        <v>35</v>
      </c>
      <c r="C151">
        <v>27.9</v>
      </c>
      <c r="D151" t="s">
        <v>5</v>
      </c>
      <c r="E151" t="s">
        <v>4</v>
      </c>
      <c r="F151">
        <v>60</v>
      </c>
      <c r="G151" t="s">
        <v>9</v>
      </c>
      <c r="H151" t="s">
        <v>2</v>
      </c>
      <c r="I151">
        <v>2.2999999999999998</v>
      </c>
      <c r="J151">
        <v>8</v>
      </c>
      <c r="K151" t="s">
        <v>1</v>
      </c>
      <c r="L151" t="s">
        <v>6</v>
      </c>
      <c r="M151" t="s">
        <v>6</v>
      </c>
      <c r="N151" t="s">
        <v>0</v>
      </c>
    </row>
    <row r="152" spans="1:14" x14ac:dyDescent="0.3">
      <c r="A152">
        <v>151</v>
      </c>
      <c r="B152">
        <v>22</v>
      </c>
      <c r="C152">
        <v>34.5</v>
      </c>
      <c r="D152" t="s">
        <v>0</v>
      </c>
      <c r="E152" t="s">
        <v>8</v>
      </c>
      <c r="F152">
        <v>45</v>
      </c>
      <c r="G152" t="s">
        <v>3</v>
      </c>
      <c r="H152" t="s">
        <v>1</v>
      </c>
      <c r="I152">
        <v>2.4</v>
      </c>
      <c r="J152">
        <v>9</v>
      </c>
      <c r="K152" t="s">
        <v>1</v>
      </c>
      <c r="L152" t="s">
        <v>1</v>
      </c>
      <c r="M152" t="s">
        <v>2</v>
      </c>
      <c r="N152" t="s">
        <v>0</v>
      </c>
    </row>
    <row r="153" spans="1:14" x14ac:dyDescent="0.3">
      <c r="A153">
        <v>152</v>
      </c>
      <c r="B153">
        <v>31</v>
      </c>
      <c r="C153">
        <v>26.8</v>
      </c>
      <c r="D153" t="s">
        <v>0</v>
      </c>
      <c r="E153" t="s">
        <v>4</v>
      </c>
      <c r="F153">
        <v>60</v>
      </c>
      <c r="G153" t="s">
        <v>9</v>
      </c>
      <c r="H153" t="s">
        <v>6</v>
      </c>
      <c r="I153">
        <v>1.9</v>
      </c>
      <c r="J153">
        <v>7</v>
      </c>
      <c r="K153" t="s">
        <v>1</v>
      </c>
      <c r="L153" t="s">
        <v>2</v>
      </c>
      <c r="M153" t="s">
        <v>6</v>
      </c>
      <c r="N153" t="s">
        <v>5</v>
      </c>
    </row>
    <row r="154" spans="1:14" x14ac:dyDescent="0.3">
      <c r="A154">
        <v>153</v>
      </c>
      <c r="B154">
        <v>20</v>
      </c>
      <c r="C154">
        <v>22.6</v>
      </c>
      <c r="D154" t="s">
        <v>5</v>
      </c>
      <c r="E154" t="s">
        <v>4</v>
      </c>
      <c r="F154">
        <v>30</v>
      </c>
      <c r="G154" t="s">
        <v>3</v>
      </c>
      <c r="H154" t="s">
        <v>1</v>
      </c>
      <c r="I154">
        <v>1.7</v>
      </c>
      <c r="J154">
        <v>6</v>
      </c>
      <c r="K154" t="s">
        <v>1</v>
      </c>
      <c r="L154" t="s">
        <v>1</v>
      </c>
      <c r="M154" t="s">
        <v>2</v>
      </c>
      <c r="N154" t="s">
        <v>0</v>
      </c>
    </row>
    <row r="155" spans="1:14" x14ac:dyDescent="0.3">
      <c r="A155">
        <v>154</v>
      </c>
      <c r="B155">
        <v>39</v>
      </c>
      <c r="C155">
        <v>28.8</v>
      </c>
      <c r="D155" t="s">
        <v>5</v>
      </c>
      <c r="E155" t="s">
        <v>4</v>
      </c>
      <c r="F155">
        <v>0</v>
      </c>
      <c r="G155" t="s">
        <v>9</v>
      </c>
      <c r="H155" t="s">
        <v>2</v>
      </c>
      <c r="I155">
        <v>3.9</v>
      </c>
      <c r="J155">
        <v>9</v>
      </c>
      <c r="K155" t="s">
        <v>6</v>
      </c>
      <c r="L155" t="s">
        <v>1</v>
      </c>
      <c r="M155" t="s">
        <v>2</v>
      </c>
      <c r="N155" t="s">
        <v>5</v>
      </c>
    </row>
    <row r="156" spans="1:14" x14ac:dyDescent="0.3">
      <c r="A156">
        <v>155</v>
      </c>
      <c r="B156">
        <v>37</v>
      </c>
      <c r="C156">
        <v>29</v>
      </c>
      <c r="D156" t="s">
        <v>5</v>
      </c>
      <c r="E156" t="s">
        <v>8</v>
      </c>
      <c r="F156">
        <v>30</v>
      </c>
      <c r="G156" t="s">
        <v>7</v>
      </c>
      <c r="H156" t="s">
        <v>2</v>
      </c>
      <c r="I156">
        <v>3.5</v>
      </c>
      <c r="J156">
        <v>8</v>
      </c>
      <c r="K156" t="s">
        <v>6</v>
      </c>
      <c r="L156" t="s">
        <v>6</v>
      </c>
      <c r="M156" t="s">
        <v>2</v>
      </c>
      <c r="N156" t="s">
        <v>0</v>
      </c>
    </row>
    <row r="157" spans="1:14" x14ac:dyDescent="0.3">
      <c r="A157">
        <v>156</v>
      </c>
      <c r="B157">
        <v>23</v>
      </c>
      <c r="C157">
        <v>25.8</v>
      </c>
      <c r="D157" t="s">
        <v>5</v>
      </c>
      <c r="E157" t="s">
        <v>8</v>
      </c>
      <c r="F157">
        <v>15</v>
      </c>
      <c r="G157" t="s">
        <v>7</v>
      </c>
      <c r="H157" t="s">
        <v>1</v>
      </c>
      <c r="I157">
        <v>1.9</v>
      </c>
      <c r="J157">
        <v>7</v>
      </c>
      <c r="K157" t="s">
        <v>1</v>
      </c>
      <c r="L157" t="s">
        <v>6</v>
      </c>
      <c r="M157" t="s">
        <v>6</v>
      </c>
      <c r="N157" t="s">
        <v>0</v>
      </c>
    </row>
    <row r="158" spans="1:14" x14ac:dyDescent="0.3">
      <c r="A158">
        <v>157</v>
      </c>
      <c r="B158">
        <v>29</v>
      </c>
      <c r="C158">
        <v>27</v>
      </c>
      <c r="D158" t="s">
        <v>0</v>
      </c>
      <c r="E158" t="s">
        <v>8</v>
      </c>
      <c r="F158">
        <v>15</v>
      </c>
      <c r="G158" t="s">
        <v>7</v>
      </c>
      <c r="H158" t="s">
        <v>2</v>
      </c>
      <c r="I158">
        <v>2.2000000000000002</v>
      </c>
      <c r="J158">
        <v>6</v>
      </c>
      <c r="K158" t="s">
        <v>2</v>
      </c>
      <c r="L158" t="s">
        <v>2</v>
      </c>
      <c r="M158" t="s">
        <v>2</v>
      </c>
      <c r="N158" t="s">
        <v>5</v>
      </c>
    </row>
    <row r="159" spans="1:14" x14ac:dyDescent="0.3">
      <c r="A159">
        <v>158</v>
      </c>
      <c r="B159">
        <v>30</v>
      </c>
      <c r="C159">
        <v>32.799999999999997</v>
      </c>
      <c r="D159" t="s">
        <v>5</v>
      </c>
      <c r="E159" t="s">
        <v>4</v>
      </c>
      <c r="F159">
        <v>15</v>
      </c>
      <c r="G159" t="s">
        <v>7</v>
      </c>
      <c r="H159" t="s">
        <v>1</v>
      </c>
      <c r="I159">
        <v>3.3</v>
      </c>
      <c r="J159">
        <v>6</v>
      </c>
      <c r="K159" t="s">
        <v>2</v>
      </c>
      <c r="L159" t="s">
        <v>6</v>
      </c>
      <c r="M159" t="s">
        <v>1</v>
      </c>
      <c r="N159" t="s">
        <v>5</v>
      </c>
    </row>
    <row r="160" spans="1:14" x14ac:dyDescent="0.3">
      <c r="A160">
        <v>159</v>
      </c>
      <c r="B160">
        <v>33</v>
      </c>
      <c r="C160">
        <v>33</v>
      </c>
      <c r="D160" t="s">
        <v>5</v>
      </c>
      <c r="E160" t="s">
        <v>4</v>
      </c>
      <c r="F160">
        <v>0</v>
      </c>
      <c r="G160" t="s">
        <v>7</v>
      </c>
      <c r="H160" t="s">
        <v>1</v>
      </c>
      <c r="I160">
        <v>2.6</v>
      </c>
      <c r="J160">
        <v>6</v>
      </c>
      <c r="K160" t="s">
        <v>2</v>
      </c>
      <c r="L160" t="s">
        <v>1</v>
      </c>
      <c r="M160" t="s">
        <v>6</v>
      </c>
      <c r="N160" t="s">
        <v>0</v>
      </c>
    </row>
    <row r="161" spans="1:14" x14ac:dyDescent="0.3">
      <c r="A161">
        <v>160</v>
      </c>
      <c r="B161">
        <v>19</v>
      </c>
      <c r="C161">
        <v>23.1</v>
      </c>
      <c r="D161" t="s">
        <v>5</v>
      </c>
      <c r="E161" t="s">
        <v>8</v>
      </c>
      <c r="F161">
        <v>60</v>
      </c>
      <c r="G161" t="s">
        <v>9</v>
      </c>
      <c r="H161" t="s">
        <v>2</v>
      </c>
      <c r="I161">
        <v>2.6</v>
      </c>
      <c r="J161">
        <v>7</v>
      </c>
      <c r="K161" t="s">
        <v>1</v>
      </c>
      <c r="L161" t="s">
        <v>6</v>
      </c>
      <c r="M161" t="s">
        <v>6</v>
      </c>
      <c r="N161" t="s">
        <v>5</v>
      </c>
    </row>
    <row r="162" spans="1:14" x14ac:dyDescent="0.3">
      <c r="A162">
        <v>161</v>
      </c>
      <c r="B162">
        <v>19</v>
      </c>
      <c r="C162">
        <v>25.1</v>
      </c>
      <c r="D162" t="s">
        <v>0</v>
      </c>
      <c r="E162" t="s">
        <v>8</v>
      </c>
      <c r="F162">
        <v>60</v>
      </c>
      <c r="G162" t="s">
        <v>7</v>
      </c>
      <c r="H162" t="s">
        <v>2</v>
      </c>
      <c r="I162">
        <v>2.5</v>
      </c>
      <c r="J162">
        <v>8</v>
      </c>
      <c r="K162" t="s">
        <v>1</v>
      </c>
      <c r="L162" t="s">
        <v>6</v>
      </c>
      <c r="M162" t="s">
        <v>1</v>
      </c>
      <c r="N162" t="s">
        <v>0</v>
      </c>
    </row>
    <row r="163" spans="1:14" x14ac:dyDescent="0.3">
      <c r="A163">
        <v>162</v>
      </c>
      <c r="B163">
        <v>22</v>
      </c>
      <c r="C163">
        <v>34.6</v>
      </c>
      <c r="D163" t="s">
        <v>5</v>
      </c>
      <c r="E163" t="s">
        <v>8</v>
      </c>
      <c r="F163">
        <v>30</v>
      </c>
      <c r="G163" t="s">
        <v>3</v>
      </c>
      <c r="H163" t="s">
        <v>6</v>
      </c>
      <c r="I163">
        <v>3.4</v>
      </c>
      <c r="J163">
        <v>6</v>
      </c>
      <c r="K163" t="s">
        <v>1</v>
      </c>
      <c r="L163" t="s">
        <v>1</v>
      </c>
      <c r="M163" t="s">
        <v>6</v>
      </c>
      <c r="N163" t="s">
        <v>0</v>
      </c>
    </row>
    <row r="164" spans="1:14" x14ac:dyDescent="0.3">
      <c r="A164">
        <v>163</v>
      </c>
      <c r="B164">
        <v>19</v>
      </c>
      <c r="C164">
        <v>19.100000000000001</v>
      </c>
      <c r="D164" t="s">
        <v>5</v>
      </c>
      <c r="E164" t="s">
        <v>8</v>
      </c>
      <c r="F164">
        <v>60</v>
      </c>
      <c r="G164" t="s">
        <v>7</v>
      </c>
      <c r="H164" t="s">
        <v>2</v>
      </c>
      <c r="I164">
        <v>3</v>
      </c>
      <c r="J164">
        <v>9</v>
      </c>
      <c r="K164" t="s">
        <v>2</v>
      </c>
      <c r="L164" t="s">
        <v>6</v>
      </c>
      <c r="M164" t="s">
        <v>1</v>
      </c>
      <c r="N164" t="s">
        <v>5</v>
      </c>
    </row>
    <row r="165" spans="1:14" x14ac:dyDescent="0.3">
      <c r="A165">
        <v>164</v>
      </c>
      <c r="B165">
        <v>23</v>
      </c>
      <c r="C165">
        <v>25</v>
      </c>
      <c r="D165" t="s">
        <v>5</v>
      </c>
      <c r="E165" t="s">
        <v>8</v>
      </c>
      <c r="F165">
        <v>60</v>
      </c>
      <c r="G165" t="s">
        <v>3</v>
      </c>
      <c r="H165" t="s">
        <v>1</v>
      </c>
      <c r="I165">
        <v>2.7</v>
      </c>
      <c r="J165">
        <v>9</v>
      </c>
      <c r="K165" t="s">
        <v>6</v>
      </c>
      <c r="L165" t="s">
        <v>6</v>
      </c>
      <c r="M165" t="s">
        <v>2</v>
      </c>
      <c r="N165" t="s">
        <v>5</v>
      </c>
    </row>
    <row r="166" spans="1:14" x14ac:dyDescent="0.3">
      <c r="A166">
        <v>165</v>
      </c>
      <c r="B166">
        <v>28</v>
      </c>
      <c r="C166">
        <v>29.6</v>
      </c>
      <c r="D166" t="s">
        <v>5</v>
      </c>
      <c r="E166" t="s">
        <v>8</v>
      </c>
      <c r="F166">
        <v>0</v>
      </c>
      <c r="G166" t="s">
        <v>3</v>
      </c>
      <c r="H166" t="s">
        <v>6</v>
      </c>
      <c r="I166">
        <v>2.2000000000000002</v>
      </c>
      <c r="J166">
        <v>9</v>
      </c>
      <c r="K166" t="s">
        <v>1</v>
      </c>
      <c r="L166" t="s">
        <v>2</v>
      </c>
      <c r="M166" t="s">
        <v>1</v>
      </c>
      <c r="N166" t="s">
        <v>0</v>
      </c>
    </row>
    <row r="167" spans="1:14" x14ac:dyDescent="0.3">
      <c r="A167">
        <v>166</v>
      </c>
      <c r="B167">
        <v>36</v>
      </c>
      <c r="C167">
        <v>26.4</v>
      </c>
      <c r="D167" t="s">
        <v>5</v>
      </c>
      <c r="E167" t="s">
        <v>4</v>
      </c>
      <c r="F167">
        <v>15</v>
      </c>
      <c r="G167" t="s">
        <v>9</v>
      </c>
      <c r="H167" t="s">
        <v>1</v>
      </c>
      <c r="I167">
        <v>3.9</v>
      </c>
      <c r="J167">
        <v>5</v>
      </c>
      <c r="K167" t="s">
        <v>2</v>
      </c>
      <c r="L167" t="s">
        <v>2</v>
      </c>
      <c r="M167" t="s">
        <v>6</v>
      </c>
      <c r="N167" t="s">
        <v>5</v>
      </c>
    </row>
    <row r="168" spans="1:14" x14ac:dyDescent="0.3">
      <c r="A168">
        <v>167</v>
      </c>
      <c r="B168">
        <v>31</v>
      </c>
      <c r="C168">
        <v>21</v>
      </c>
      <c r="D168" t="s">
        <v>0</v>
      </c>
      <c r="E168" t="s">
        <v>8</v>
      </c>
      <c r="F168">
        <v>60</v>
      </c>
      <c r="G168" t="s">
        <v>3</v>
      </c>
      <c r="H168" t="s">
        <v>6</v>
      </c>
      <c r="I168">
        <v>3.7</v>
      </c>
      <c r="J168">
        <v>5</v>
      </c>
      <c r="K168" t="s">
        <v>1</v>
      </c>
      <c r="L168" t="s">
        <v>2</v>
      </c>
      <c r="M168" t="s">
        <v>1</v>
      </c>
      <c r="N168" t="s">
        <v>0</v>
      </c>
    </row>
    <row r="169" spans="1:14" x14ac:dyDescent="0.3">
      <c r="A169">
        <v>168</v>
      </c>
      <c r="B169">
        <v>35</v>
      </c>
      <c r="C169">
        <v>23.9</v>
      </c>
      <c r="D169" t="s">
        <v>5</v>
      </c>
      <c r="E169" t="s">
        <v>8</v>
      </c>
      <c r="F169">
        <v>30</v>
      </c>
      <c r="G169" t="s">
        <v>9</v>
      </c>
      <c r="H169" t="s">
        <v>6</v>
      </c>
      <c r="I169">
        <v>3.8</v>
      </c>
      <c r="J169">
        <v>7</v>
      </c>
      <c r="K169" t="s">
        <v>1</v>
      </c>
      <c r="L169" t="s">
        <v>6</v>
      </c>
      <c r="M169" t="s">
        <v>1</v>
      </c>
      <c r="N169" t="s">
        <v>5</v>
      </c>
    </row>
    <row r="170" spans="1:14" x14ac:dyDescent="0.3">
      <c r="A170">
        <v>169</v>
      </c>
      <c r="B170">
        <v>37</v>
      </c>
      <c r="C170">
        <v>26.5</v>
      </c>
      <c r="D170" t="s">
        <v>0</v>
      </c>
      <c r="E170" t="s">
        <v>8</v>
      </c>
      <c r="F170">
        <v>60</v>
      </c>
      <c r="G170" t="s">
        <v>7</v>
      </c>
      <c r="H170" t="s">
        <v>2</v>
      </c>
      <c r="I170">
        <v>3.9</v>
      </c>
      <c r="J170">
        <v>7</v>
      </c>
      <c r="K170" t="s">
        <v>6</v>
      </c>
      <c r="L170" t="s">
        <v>1</v>
      </c>
      <c r="M170" t="s">
        <v>2</v>
      </c>
      <c r="N170" t="s">
        <v>5</v>
      </c>
    </row>
    <row r="171" spans="1:14" x14ac:dyDescent="0.3">
      <c r="A171">
        <v>170</v>
      </c>
      <c r="B171">
        <v>28</v>
      </c>
      <c r="C171">
        <v>26.4</v>
      </c>
      <c r="D171" t="s">
        <v>5</v>
      </c>
      <c r="E171" t="s">
        <v>8</v>
      </c>
      <c r="F171">
        <v>0</v>
      </c>
      <c r="G171" t="s">
        <v>3</v>
      </c>
      <c r="H171" t="s">
        <v>1</v>
      </c>
      <c r="I171">
        <v>2.9</v>
      </c>
      <c r="J171">
        <v>8</v>
      </c>
      <c r="K171" t="s">
        <v>6</v>
      </c>
      <c r="L171" t="s">
        <v>2</v>
      </c>
      <c r="M171" t="s">
        <v>6</v>
      </c>
      <c r="N171" t="s">
        <v>0</v>
      </c>
    </row>
    <row r="172" spans="1:14" x14ac:dyDescent="0.3">
      <c r="A172">
        <v>171</v>
      </c>
      <c r="B172">
        <v>27</v>
      </c>
      <c r="C172">
        <v>34.299999999999997</v>
      </c>
      <c r="D172" t="s">
        <v>0</v>
      </c>
      <c r="E172" t="s">
        <v>8</v>
      </c>
      <c r="F172">
        <v>45</v>
      </c>
      <c r="G172" t="s">
        <v>3</v>
      </c>
      <c r="H172" t="s">
        <v>6</v>
      </c>
      <c r="I172">
        <v>3.4</v>
      </c>
      <c r="J172">
        <v>6</v>
      </c>
      <c r="K172" t="s">
        <v>2</v>
      </c>
      <c r="L172" t="s">
        <v>1</v>
      </c>
      <c r="M172" t="s">
        <v>6</v>
      </c>
      <c r="N172" t="s">
        <v>5</v>
      </c>
    </row>
    <row r="173" spans="1:14" x14ac:dyDescent="0.3">
      <c r="A173">
        <v>172</v>
      </c>
      <c r="B173">
        <v>22</v>
      </c>
      <c r="C173">
        <v>20.3</v>
      </c>
      <c r="D173" t="s">
        <v>0</v>
      </c>
      <c r="E173" t="s">
        <v>4</v>
      </c>
      <c r="F173">
        <v>0</v>
      </c>
      <c r="G173" t="s">
        <v>3</v>
      </c>
      <c r="H173" t="s">
        <v>1</v>
      </c>
      <c r="I173">
        <v>2.1</v>
      </c>
      <c r="J173">
        <v>6</v>
      </c>
      <c r="K173" t="s">
        <v>2</v>
      </c>
      <c r="L173" t="s">
        <v>2</v>
      </c>
      <c r="M173" t="s">
        <v>6</v>
      </c>
      <c r="N173" t="s">
        <v>5</v>
      </c>
    </row>
    <row r="174" spans="1:14" x14ac:dyDescent="0.3">
      <c r="A174">
        <v>173</v>
      </c>
      <c r="B174">
        <v>40</v>
      </c>
      <c r="C174">
        <v>26.3</v>
      </c>
      <c r="D174" t="s">
        <v>0</v>
      </c>
      <c r="E174" t="s">
        <v>4</v>
      </c>
      <c r="F174">
        <v>60</v>
      </c>
      <c r="G174" t="s">
        <v>9</v>
      </c>
      <c r="H174" t="s">
        <v>6</v>
      </c>
      <c r="I174">
        <v>3.1</v>
      </c>
      <c r="J174">
        <v>8</v>
      </c>
      <c r="K174" t="s">
        <v>6</v>
      </c>
      <c r="L174" t="s">
        <v>1</v>
      </c>
      <c r="M174" t="s">
        <v>2</v>
      </c>
      <c r="N174" t="s">
        <v>5</v>
      </c>
    </row>
    <row r="175" spans="1:14" x14ac:dyDescent="0.3">
      <c r="A175">
        <v>174</v>
      </c>
      <c r="B175">
        <v>28</v>
      </c>
      <c r="C175">
        <v>23.2</v>
      </c>
      <c r="D175" t="s">
        <v>0</v>
      </c>
      <c r="E175" t="s">
        <v>4</v>
      </c>
      <c r="F175">
        <v>60</v>
      </c>
      <c r="G175" t="s">
        <v>9</v>
      </c>
      <c r="H175" t="s">
        <v>1</v>
      </c>
      <c r="I175">
        <v>3.3</v>
      </c>
      <c r="J175">
        <v>5</v>
      </c>
      <c r="K175" t="s">
        <v>2</v>
      </c>
      <c r="L175" t="s">
        <v>6</v>
      </c>
      <c r="M175" t="s">
        <v>2</v>
      </c>
      <c r="N175" t="s">
        <v>0</v>
      </c>
    </row>
    <row r="176" spans="1:14" x14ac:dyDescent="0.3">
      <c r="A176">
        <v>175</v>
      </c>
      <c r="B176">
        <v>30</v>
      </c>
      <c r="C176">
        <v>31.5</v>
      </c>
      <c r="D176" t="s">
        <v>0</v>
      </c>
      <c r="E176" t="s">
        <v>8</v>
      </c>
      <c r="F176">
        <v>0</v>
      </c>
      <c r="G176" t="s">
        <v>9</v>
      </c>
      <c r="H176" t="s">
        <v>6</v>
      </c>
      <c r="I176">
        <v>2.9</v>
      </c>
      <c r="J176">
        <v>5</v>
      </c>
      <c r="K176" t="s">
        <v>6</v>
      </c>
      <c r="L176" t="s">
        <v>6</v>
      </c>
      <c r="M176" t="s">
        <v>6</v>
      </c>
      <c r="N176" t="s">
        <v>5</v>
      </c>
    </row>
    <row r="177" spans="1:14" x14ac:dyDescent="0.3">
      <c r="A177">
        <v>176</v>
      </c>
      <c r="B177">
        <v>22</v>
      </c>
      <c r="C177">
        <v>32.5</v>
      </c>
      <c r="D177" t="s">
        <v>5</v>
      </c>
      <c r="E177" t="s">
        <v>8</v>
      </c>
      <c r="F177">
        <v>15</v>
      </c>
      <c r="G177" t="s">
        <v>9</v>
      </c>
      <c r="H177" t="s">
        <v>6</v>
      </c>
      <c r="I177">
        <v>1.9</v>
      </c>
      <c r="J177">
        <v>8</v>
      </c>
      <c r="K177" t="s">
        <v>1</v>
      </c>
      <c r="L177" t="s">
        <v>6</v>
      </c>
      <c r="M177" t="s">
        <v>1</v>
      </c>
      <c r="N177" t="s">
        <v>0</v>
      </c>
    </row>
    <row r="178" spans="1:14" x14ac:dyDescent="0.3">
      <c r="A178">
        <v>177</v>
      </c>
      <c r="B178">
        <v>18</v>
      </c>
      <c r="C178">
        <v>30.7</v>
      </c>
      <c r="D178" t="s">
        <v>5</v>
      </c>
      <c r="E178" t="s">
        <v>4</v>
      </c>
      <c r="F178">
        <v>15</v>
      </c>
      <c r="G178" t="s">
        <v>3</v>
      </c>
      <c r="H178" t="s">
        <v>1</v>
      </c>
      <c r="I178">
        <v>3.7</v>
      </c>
      <c r="J178">
        <v>8</v>
      </c>
      <c r="K178" t="s">
        <v>1</v>
      </c>
      <c r="L178" t="s">
        <v>6</v>
      </c>
      <c r="M178" t="s">
        <v>2</v>
      </c>
      <c r="N178" t="s">
        <v>5</v>
      </c>
    </row>
    <row r="179" spans="1:14" x14ac:dyDescent="0.3">
      <c r="A179">
        <v>178</v>
      </c>
      <c r="B179">
        <v>39</v>
      </c>
      <c r="C179">
        <v>20.100000000000001</v>
      </c>
      <c r="D179" t="s">
        <v>0</v>
      </c>
      <c r="E179" t="s">
        <v>8</v>
      </c>
      <c r="F179">
        <v>30</v>
      </c>
      <c r="G179" t="s">
        <v>9</v>
      </c>
      <c r="H179" t="s">
        <v>2</v>
      </c>
      <c r="I179">
        <v>2.2000000000000002</v>
      </c>
      <c r="J179">
        <v>6</v>
      </c>
      <c r="K179" t="s">
        <v>6</v>
      </c>
      <c r="L179" t="s">
        <v>6</v>
      </c>
      <c r="M179" t="s">
        <v>6</v>
      </c>
      <c r="N179" t="s">
        <v>5</v>
      </c>
    </row>
    <row r="180" spans="1:14" x14ac:dyDescent="0.3">
      <c r="A180">
        <v>179</v>
      </c>
      <c r="B180">
        <v>36</v>
      </c>
      <c r="C180">
        <v>30.4</v>
      </c>
      <c r="D180" t="s">
        <v>0</v>
      </c>
      <c r="E180" t="s">
        <v>8</v>
      </c>
      <c r="F180">
        <v>30</v>
      </c>
      <c r="G180" t="s">
        <v>3</v>
      </c>
      <c r="H180" t="s">
        <v>2</v>
      </c>
      <c r="I180">
        <v>1.7</v>
      </c>
      <c r="J180">
        <v>5</v>
      </c>
      <c r="K180" t="s">
        <v>6</v>
      </c>
      <c r="L180" t="s">
        <v>6</v>
      </c>
      <c r="M180" t="s">
        <v>2</v>
      </c>
      <c r="N180" t="s">
        <v>5</v>
      </c>
    </row>
    <row r="181" spans="1:14" x14ac:dyDescent="0.3">
      <c r="A181">
        <v>180</v>
      </c>
      <c r="B181">
        <v>39</v>
      </c>
      <c r="C181">
        <v>26.8</v>
      </c>
      <c r="D181" t="s">
        <v>5</v>
      </c>
      <c r="E181" t="s">
        <v>4</v>
      </c>
      <c r="F181">
        <v>30</v>
      </c>
      <c r="G181" t="s">
        <v>7</v>
      </c>
      <c r="H181" t="s">
        <v>1</v>
      </c>
      <c r="I181">
        <v>2.1</v>
      </c>
      <c r="J181">
        <v>6</v>
      </c>
      <c r="K181" t="s">
        <v>6</v>
      </c>
      <c r="L181" t="s">
        <v>2</v>
      </c>
      <c r="M181" t="s">
        <v>6</v>
      </c>
      <c r="N181" t="s">
        <v>5</v>
      </c>
    </row>
    <row r="182" spans="1:14" x14ac:dyDescent="0.3">
      <c r="A182">
        <v>181</v>
      </c>
      <c r="B182">
        <v>31</v>
      </c>
      <c r="C182">
        <v>30.1</v>
      </c>
      <c r="D182" t="s">
        <v>5</v>
      </c>
      <c r="E182" t="s">
        <v>4</v>
      </c>
      <c r="F182">
        <v>15</v>
      </c>
      <c r="G182" t="s">
        <v>3</v>
      </c>
      <c r="H182" t="s">
        <v>1</v>
      </c>
      <c r="I182">
        <v>3.7</v>
      </c>
      <c r="J182">
        <v>5</v>
      </c>
      <c r="K182" t="s">
        <v>1</v>
      </c>
      <c r="L182" t="s">
        <v>6</v>
      </c>
      <c r="M182" t="s">
        <v>1</v>
      </c>
      <c r="N182" t="s">
        <v>5</v>
      </c>
    </row>
    <row r="183" spans="1:14" x14ac:dyDescent="0.3">
      <c r="A183">
        <v>182</v>
      </c>
      <c r="B183">
        <v>20</v>
      </c>
      <c r="C183">
        <v>33.6</v>
      </c>
      <c r="D183" t="s">
        <v>0</v>
      </c>
      <c r="E183" t="s">
        <v>4</v>
      </c>
      <c r="F183">
        <v>60</v>
      </c>
      <c r="G183" t="s">
        <v>3</v>
      </c>
      <c r="H183" t="s">
        <v>2</v>
      </c>
      <c r="I183">
        <v>2.9</v>
      </c>
      <c r="J183">
        <v>6</v>
      </c>
      <c r="K183" t="s">
        <v>2</v>
      </c>
      <c r="L183" t="s">
        <v>6</v>
      </c>
      <c r="M183" t="s">
        <v>1</v>
      </c>
      <c r="N183" t="s">
        <v>5</v>
      </c>
    </row>
    <row r="184" spans="1:14" x14ac:dyDescent="0.3">
      <c r="A184">
        <v>183</v>
      </c>
      <c r="B184">
        <v>21</v>
      </c>
      <c r="C184">
        <v>29.7</v>
      </c>
      <c r="D184" t="s">
        <v>5</v>
      </c>
      <c r="E184" t="s">
        <v>4</v>
      </c>
      <c r="F184">
        <v>60</v>
      </c>
      <c r="G184" t="s">
        <v>7</v>
      </c>
      <c r="H184" t="s">
        <v>2</v>
      </c>
      <c r="I184">
        <v>2.6</v>
      </c>
      <c r="J184">
        <v>9</v>
      </c>
      <c r="K184" t="s">
        <v>6</v>
      </c>
      <c r="L184" t="s">
        <v>6</v>
      </c>
      <c r="M184" t="s">
        <v>1</v>
      </c>
      <c r="N184" t="s">
        <v>0</v>
      </c>
    </row>
    <row r="185" spans="1:14" x14ac:dyDescent="0.3">
      <c r="A185">
        <v>184</v>
      </c>
      <c r="B185">
        <v>35</v>
      </c>
      <c r="C185">
        <v>26.1</v>
      </c>
      <c r="D185" t="s">
        <v>5</v>
      </c>
      <c r="E185" t="s">
        <v>4</v>
      </c>
      <c r="F185">
        <v>45</v>
      </c>
      <c r="G185" t="s">
        <v>7</v>
      </c>
      <c r="H185" t="s">
        <v>2</v>
      </c>
      <c r="I185">
        <v>3.4</v>
      </c>
      <c r="J185">
        <v>9</v>
      </c>
      <c r="K185" t="s">
        <v>2</v>
      </c>
      <c r="L185" t="s">
        <v>2</v>
      </c>
      <c r="M185" t="s">
        <v>6</v>
      </c>
      <c r="N185" t="s">
        <v>5</v>
      </c>
    </row>
    <row r="186" spans="1:14" x14ac:dyDescent="0.3">
      <c r="A186">
        <v>185</v>
      </c>
      <c r="B186">
        <v>40</v>
      </c>
      <c r="C186">
        <v>19.600000000000001</v>
      </c>
      <c r="D186" t="s">
        <v>0</v>
      </c>
      <c r="E186" t="s">
        <v>4</v>
      </c>
      <c r="F186">
        <v>45</v>
      </c>
      <c r="G186" t="s">
        <v>9</v>
      </c>
      <c r="H186" t="s">
        <v>6</v>
      </c>
      <c r="I186">
        <v>2.5</v>
      </c>
      <c r="J186">
        <v>6</v>
      </c>
      <c r="K186" t="s">
        <v>1</v>
      </c>
      <c r="L186" t="s">
        <v>1</v>
      </c>
      <c r="M186" t="s">
        <v>1</v>
      </c>
      <c r="N186" t="s">
        <v>5</v>
      </c>
    </row>
    <row r="187" spans="1:14" x14ac:dyDescent="0.3">
      <c r="A187">
        <v>186</v>
      </c>
      <c r="B187">
        <v>29</v>
      </c>
      <c r="C187">
        <v>34.9</v>
      </c>
      <c r="D187" t="s">
        <v>5</v>
      </c>
      <c r="E187" t="s">
        <v>8</v>
      </c>
      <c r="F187">
        <v>45</v>
      </c>
      <c r="G187" t="s">
        <v>7</v>
      </c>
      <c r="H187" t="s">
        <v>2</v>
      </c>
      <c r="I187">
        <v>3.2</v>
      </c>
      <c r="J187">
        <v>9</v>
      </c>
      <c r="K187" t="s">
        <v>2</v>
      </c>
      <c r="L187" t="s">
        <v>1</v>
      </c>
      <c r="M187" t="s">
        <v>6</v>
      </c>
      <c r="N187" t="s">
        <v>0</v>
      </c>
    </row>
    <row r="188" spans="1:14" x14ac:dyDescent="0.3">
      <c r="A188">
        <v>187</v>
      </c>
      <c r="B188">
        <v>23</v>
      </c>
      <c r="C188">
        <v>34.9</v>
      </c>
      <c r="D188" t="s">
        <v>5</v>
      </c>
      <c r="E188" t="s">
        <v>4</v>
      </c>
      <c r="F188">
        <v>15</v>
      </c>
      <c r="G188" t="s">
        <v>9</v>
      </c>
      <c r="H188" t="s">
        <v>2</v>
      </c>
      <c r="I188">
        <v>3.9</v>
      </c>
      <c r="J188">
        <v>8</v>
      </c>
      <c r="K188" t="s">
        <v>1</v>
      </c>
      <c r="L188" t="s">
        <v>1</v>
      </c>
      <c r="M188" t="s">
        <v>1</v>
      </c>
      <c r="N188" t="s">
        <v>5</v>
      </c>
    </row>
    <row r="189" spans="1:14" x14ac:dyDescent="0.3">
      <c r="A189">
        <v>188</v>
      </c>
      <c r="B189">
        <v>35</v>
      </c>
      <c r="C189">
        <v>24.8</v>
      </c>
      <c r="D189" t="s">
        <v>0</v>
      </c>
      <c r="E189" t="s">
        <v>4</v>
      </c>
      <c r="F189">
        <v>45</v>
      </c>
      <c r="G189" t="s">
        <v>7</v>
      </c>
      <c r="H189" t="s">
        <v>2</v>
      </c>
      <c r="I189">
        <v>2.2000000000000002</v>
      </c>
      <c r="J189">
        <v>5</v>
      </c>
      <c r="K189" t="s">
        <v>2</v>
      </c>
      <c r="L189" t="s">
        <v>1</v>
      </c>
      <c r="M189" t="s">
        <v>6</v>
      </c>
      <c r="N189" t="s">
        <v>0</v>
      </c>
    </row>
    <row r="190" spans="1:14" x14ac:dyDescent="0.3">
      <c r="A190">
        <v>189</v>
      </c>
      <c r="B190">
        <v>25</v>
      </c>
      <c r="C190">
        <v>21.9</v>
      </c>
      <c r="D190" t="s">
        <v>0</v>
      </c>
      <c r="E190" t="s">
        <v>4</v>
      </c>
      <c r="F190">
        <v>45</v>
      </c>
      <c r="G190" t="s">
        <v>3</v>
      </c>
      <c r="H190" t="s">
        <v>1</v>
      </c>
      <c r="I190">
        <v>3.3</v>
      </c>
      <c r="J190">
        <v>5</v>
      </c>
      <c r="K190" t="s">
        <v>2</v>
      </c>
      <c r="L190" t="s">
        <v>1</v>
      </c>
      <c r="M190" t="s">
        <v>2</v>
      </c>
      <c r="N190" t="s">
        <v>5</v>
      </c>
    </row>
    <row r="191" spans="1:14" x14ac:dyDescent="0.3">
      <c r="A191">
        <v>190</v>
      </c>
      <c r="B191">
        <v>32</v>
      </c>
      <c r="C191">
        <v>22.4</v>
      </c>
      <c r="D191" t="s">
        <v>0</v>
      </c>
      <c r="E191" t="s">
        <v>4</v>
      </c>
      <c r="F191">
        <v>15</v>
      </c>
      <c r="G191" t="s">
        <v>3</v>
      </c>
      <c r="H191" t="s">
        <v>6</v>
      </c>
      <c r="I191">
        <v>2.1</v>
      </c>
      <c r="J191">
        <v>9</v>
      </c>
      <c r="K191" t="s">
        <v>6</v>
      </c>
      <c r="L191" t="s">
        <v>1</v>
      </c>
      <c r="M191" t="s">
        <v>1</v>
      </c>
      <c r="N191" t="s">
        <v>5</v>
      </c>
    </row>
    <row r="192" spans="1:14" x14ac:dyDescent="0.3">
      <c r="A192">
        <v>191</v>
      </c>
      <c r="B192">
        <v>25</v>
      </c>
      <c r="C192">
        <v>23.5</v>
      </c>
      <c r="D192" t="s">
        <v>0</v>
      </c>
      <c r="E192" t="s">
        <v>4</v>
      </c>
      <c r="F192">
        <v>45</v>
      </c>
      <c r="G192" t="s">
        <v>7</v>
      </c>
      <c r="H192" t="s">
        <v>6</v>
      </c>
      <c r="I192">
        <v>1.7</v>
      </c>
      <c r="J192">
        <v>9</v>
      </c>
      <c r="K192" t="s">
        <v>1</v>
      </c>
      <c r="L192" t="s">
        <v>2</v>
      </c>
      <c r="M192" t="s">
        <v>1</v>
      </c>
      <c r="N192" t="s">
        <v>5</v>
      </c>
    </row>
    <row r="193" spans="1:14" x14ac:dyDescent="0.3">
      <c r="A193">
        <v>192</v>
      </c>
      <c r="B193">
        <v>35</v>
      </c>
      <c r="C193">
        <v>26.7</v>
      </c>
      <c r="D193" t="s">
        <v>5</v>
      </c>
      <c r="E193" t="s">
        <v>8</v>
      </c>
      <c r="F193">
        <v>60</v>
      </c>
      <c r="G193" t="s">
        <v>7</v>
      </c>
      <c r="H193" t="s">
        <v>1</v>
      </c>
      <c r="I193">
        <v>2.5</v>
      </c>
      <c r="J193">
        <v>6</v>
      </c>
      <c r="K193" t="s">
        <v>6</v>
      </c>
      <c r="L193" t="s">
        <v>6</v>
      </c>
      <c r="M193" t="s">
        <v>2</v>
      </c>
      <c r="N193" t="s">
        <v>5</v>
      </c>
    </row>
    <row r="194" spans="1:14" x14ac:dyDescent="0.3">
      <c r="A194">
        <v>193</v>
      </c>
      <c r="B194">
        <v>25</v>
      </c>
      <c r="C194">
        <v>32.5</v>
      </c>
      <c r="D194" t="s">
        <v>5</v>
      </c>
      <c r="E194" t="s">
        <v>4</v>
      </c>
      <c r="F194">
        <v>45</v>
      </c>
      <c r="G194" t="s">
        <v>9</v>
      </c>
      <c r="H194" t="s">
        <v>1</v>
      </c>
      <c r="I194">
        <v>2.5</v>
      </c>
      <c r="J194">
        <v>8</v>
      </c>
      <c r="K194" t="s">
        <v>1</v>
      </c>
      <c r="L194" t="s">
        <v>1</v>
      </c>
      <c r="M194" t="s">
        <v>2</v>
      </c>
      <c r="N194" t="s">
        <v>5</v>
      </c>
    </row>
    <row r="195" spans="1:14" x14ac:dyDescent="0.3">
      <c r="A195">
        <v>194</v>
      </c>
      <c r="B195">
        <v>25</v>
      </c>
      <c r="C195">
        <v>22.7</v>
      </c>
      <c r="D195" t="s">
        <v>5</v>
      </c>
      <c r="E195" t="s">
        <v>4</v>
      </c>
      <c r="F195">
        <v>45</v>
      </c>
      <c r="G195" t="s">
        <v>7</v>
      </c>
      <c r="H195" t="s">
        <v>2</v>
      </c>
      <c r="I195">
        <v>2.8</v>
      </c>
      <c r="J195">
        <v>6</v>
      </c>
      <c r="K195" t="s">
        <v>2</v>
      </c>
      <c r="L195" t="s">
        <v>6</v>
      </c>
      <c r="M195" t="s">
        <v>6</v>
      </c>
      <c r="N195" t="s">
        <v>0</v>
      </c>
    </row>
    <row r="196" spans="1:14" x14ac:dyDescent="0.3">
      <c r="A196">
        <v>195</v>
      </c>
      <c r="B196">
        <v>20</v>
      </c>
      <c r="C196">
        <v>21.6</v>
      </c>
      <c r="D196" t="s">
        <v>0</v>
      </c>
      <c r="E196" t="s">
        <v>8</v>
      </c>
      <c r="F196">
        <v>15</v>
      </c>
      <c r="G196" t="s">
        <v>7</v>
      </c>
      <c r="H196" t="s">
        <v>6</v>
      </c>
      <c r="I196">
        <v>3.9</v>
      </c>
      <c r="J196">
        <v>5</v>
      </c>
      <c r="K196" t="s">
        <v>2</v>
      </c>
      <c r="L196" t="s">
        <v>2</v>
      </c>
      <c r="M196" t="s">
        <v>1</v>
      </c>
      <c r="N196" t="s">
        <v>0</v>
      </c>
    </row>
    <row r="197" spans="1:14" x14ac:dyDescent="0.3">
      <c r="A197">
        <v>196</v>
      </c>
      <c r="B197">
        <v>33</v>
      </c>
      <c r="C197">
        <v>33.6</v>
      </c>
      <c r="D197" t="s">
        <v>0</v>
      </c>
      <c r="E197" t="s">
        <v>8</v>
      </c>
      <c r="F197">
        <v>15</v>
      </c>
      <c r="G197" t="s">
        <v>3</v>
      </c>
      <c r="H197" t="s">
        <v>6</v>
      </c>
      <c r="I197">
        <v>3.4</v>
      </c>
      <c r="J197">
        <v>8</v>
      </c>
      <c r="K197" t="s">
        <v>6</v>
      </c>
      <c r="L197" t="s">
        <v>1</v>
      </c>
      <c r="M197" t="s">
        <v>1</v>
      </c>
      <c r="N197" t="s">
        <v>5</v>
      </c>
    </row>
    <row r="198" spans="1:14" x14ac:dyDescent="0.3">
      <c r="A198">
        <v>197</v>
      </c>
      <c r="B198">
        <v>27</v>
      </c>
      <c r="C198">
        <v>22.8</v>
      </c>
      <c r="D198" t="s">
        <v>5</v>
      </c>
      <c r="E198" t="s">
        <v>8</v>
      </c>
      <c r="F198">
        <v>0</v>
      </c>
      <c r="G198" t="s">
        <v>3</v>
      </c>
      <c r="H198" t="s">
        <v>6</v>
      </c>
      <c r="I198">
        <v>3.4</v>
      </c>
      <c r="J198">
        <v>7</v>
      </c>
      <c r="K198" t="s">
        <v>2</v>
      </c>
      <c r="L198" t="s">
        <v>6</v>
      </c>
      <c r="M198" t="s">
        <v>6</v>
      </c>
      <c r="N198" t="s">
        <v>5</v>
      </c>
    </row>
    <row r="199" spans="1:14" x14ac:dyDescent="0.3">
      <c r="A199">
        <v>198</v>
      </c>
      <c r="B199">
        <v>19</v>
      </c>
      <c r="C199">
        <v>27.8</v>
      </c>
      <c r="D199" t="s">
        <v>0</v>
      </c>
      <c r="E199" t="s">
        <v>4</v>
      </c>
      <c r="F199">
        <v>0</v>
      </c>
      <c r="G199" t="s">
        <v>7</v>
      </c>
      <c r="H199" t="s">
        <v>1</v>
      </c>
      <c r="I199">
        <v>3.8</v>
      </c>
      <c r="J199">
        <v>9</v>
      </c>
      <c r="K199" t="s">
        <v>1</v>
      </c>
      <c r="L199" t="s">
        <v>6</v>
      </c>
      <c r="M199" t="s">
        <v>6</v>
      </c>
      <c r="N199" t="s">
        <v>0</v>
      </c>
    </row>
    <row r="200" spans="1:14" x14ac:dyDescent="0.3">
      <c r="A200">
        <v>199</v>
      </c>
      <c r="B200">
        <v>24</v>
      </c>
      <c r="C200">
        <v>23.9</v>
      </c>
      <c r="D200" t="s">
        <v>5</v>
      </c>
      <c r="E200" t="s">
        <v>4</v>
      </c>
      <c r="F200">
        <v>45</v>
      </c>
      <c r="G200" t="s">
        <v>3</v>
      </c>
      <c r="H200" t="s">
        <v>1</v>
      </c>
      <c r="I200">
        <v>3.9</v>
      </c>
      <c r="J200">
        <v>7</v>
      </c>
      <c r="K200" t="s">
        <v>6</v>
      </c>
      <c r="L200" t="s">
        <v>6</v>
      </c>
      <c r="M200" t="s">
        <v>1</v>
      </c>
      <c r="N200" t="s">
        <v>5</v>
      </c>
    </row>
    <row r="201" spans="1:14" x14ac:dyDescent="0.3">
      <c r="A201">
        <v>200</v>
      </c>
      <c r="B201">
        <v>32</v>
      </c>
      <c r="C201">
        <v>21.3</v>
      </c>
      <c r="D201" t="s">
        <v>5</v>
      </c>
      <c r="E201" t="s">
        <v>4</v>
      </c>
      <c r="F201">
        <v>15</v>
      </c>
      <c r="G201" t="s">
        <v>3</v>
      </c>
      <c r="H201" t="s">
        <v>1</v>
      </c>
      <c r="I201">
        <v>2.7</v>
      </c>
      <c r="J201">
        <v>9</v>
      </c>
      <c r="K201" t="s">
        <v>1</v>
      </c>
      <c r="L201" t="s">
        <v>2</v>
      </c>
      <c r="M201" t="s">
        <v>1</v>
      </c>
      <c r="N201" t="s">
        <v>0</v>
      </c>
    </row>
  </sheetData>
  <autoFilter ref="A1:N201" xr:uid="{C12E7351-5637-4AC8-BF7C-6CD9B40F947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85E4-19CB-49F2-925F-A4B510849713}">
  <dimension ref="E1:AX235"/>
  <sheetViews>
    <sheetView tabSelected="1" topLeftCell="A3" zoomScale="41" workbookViewId="0">
      <selection activeCell="AV55" sqref="AV55"/>
    </sheetView>
  </sheetViews>
  <sheetFormatPr defaultRowHeight="14.4" x14ac:dyDescent="0.3"/>
  <cols>
    <col min="14" max="14" width="11.77734375" customWidth="1"/>
    <col min="15" max="15" width="10" customWidth="1"/>
  </cols>
  <sheetData>
    <row r="1" spans="5:30" x14ac:dyDescent="0.3">
      <c r="E1" s="16"/>
      <c r="F1" s="16"/>
      <c r="G1" s="16"/>
      <c r="H1" s="24" t="s">
        <v>35</v>
      </c>
      <c r="I1" s="25"/>
      <c r="J1" s="25"/>
      <c r="K1" s="25"/>
      <c r="L1" s="25"/>
      <c r="M1" s="25"/>
      <c r="N1" s="25"/>
      <c r="O1" s="25"/>
      <c r="P1" s="25"/>
      <c r="Q1" s="25"/>
      <c r="R1" s="25"/>
      <c r="S1" s="25"/>
      <c r="T1" s="25"/>
      <c r="U1" s="25"/>
      <c r="V1" s="25"/>
      <c r="W1" s="9"/>
      <c r="X1" s="9"/>
      <c r="Y1" s="9"/>
      <c r="Z1" s="9"/>
      <c r="AA1" s="9"/>
      <c r="AB1" s="16"/>
      <c r="AC1" s="16"/>
      <c r="AD1" s="16"/>
    </row>
    <row r="2" spans="5:30" x14ac:dyDescent="0.3">
      <c r="E2" s="16"/>
      <c r="F2" s="16"/>
      <c r="G2" s="16"/>
      <c r="H2" s="25"/>
      <c r="I2" s="25"/>
      <c r="J2" s="25"/>
      <c r="K2" s="25"/>
      <c r="L2" s="25"/>
      <c r="M2" s="25"/>
      <c r="N2" s="25"/>
      <c r="O2" s="25"/>
      <c r="P2" s="25"/>
      <c r="Q2" s="25"/>
      <c r="R2" s="25"/>
      <c r="S2" s="25"/>
      <c r="T2" s="25"/>
      <c r="U2" s="25"/>
      <c r="V2" s="25"/>
      <c r="W2" s="9"/>
      <c r="X2" s="9"/>
      <c r="Y2" s="9"/>
      <c r="Z2" s="9"/>
      <c r="AA2" s="9"/>
      <c r="AB2" s="16"/>
      <c r="AC2" s="16"/>
      <c r="AD2" s="16"/>
    </row>
    <row r="3" spans="5:30" x14ac:dyDescent="0.3">
      <c r="E3" s="16"/>
      <c r="F3" s="16"/>
      <c r="G3" s="16"/>
      <c r="H3" s="25"/>
      <c r="I3" s="25"/>
      <c r="J3" s="25"/>
      <c r="K3" s="25"/>
      <c r="L3" s="25"/>
      <c r="M3" s="25"/>
      <c r="N3" s="25"/>
      <c r="O3" s="25"/>
      <c r="P3" s="25"/>
      <c r="Q3" s="25"/>
      <c r="R3" s="25"/>
      <c r="S3" s="25"/>
      <c r="T3" s="25"/>
      <c r="U3" s="25"/>
      <c r="V3" s="25"/>
      <c r="W3" s="9"/>
      <c r="X3" s="9"/>
      <c r="Y3" s="9"/>
      <c r="Z3" s="9"/>
      <c r="AA3" s="9"/>
      <c r="AB3" s="16"/>
      <c r="AC3" s="16"/>
      <c r="AD3" s="16"/>
    </row>
    <row r="4" spans="5:30" x14ac:dyDescent="0.3">
      <c r="E4" s="16"/>
      <c r="F4" s="16"/>
      <c r="G4" s="16"/>
      <c r="H4" s="25"/>
      <c r="I4" s="25"/>
      <c r="J4" s="25"/>
      <c r="K4" s="25"/>
      <c r="L4" s="25"/>
      <c r="M4" s="25"/>
      <c r="N4" s="25"/>
      <c r="O4" s="25"/>
      <c r="P4" s="25"/>
      <c r="Q4" s="25"/>
      <c r="R4" s="25"/>
      <c r="S4" s="25"/>
      <c r="T4" s="25"/>
      <c r="U4" s="25"/>
      <c r="V4" s="25"/>
      <c r="W4" s="9"/>
      <c r="X4" s="9"/>
      <c r="Y4" s="9"/>
      <c r="Z4" s="9"/>
      <c r="AA4" s="9"/>
      <c r="AB4" s="16"/>
      <c r="AC4" s="16"/>
      <c r="AD4" s="16"/>
    </row>
    <row r="5" spans="5:30" x14ac:dyDescent="0.3">
      <c r="H5" s="11"/>
      <c r="I5" s="11"/>
      <c r="J5" s="11"/>
      <c r="K5" s="11"/>
      <c r="L5" s="19"/>
      <c r="M5" s="19"/>
      <c r="N5" s="19"/>
      <c r="O5" s="19"/>
      <c r="P5" s="8"/>
      <c r="Q5" s="8"/>
      <c r="R5" s="8"/>
      <c r="S5" s="8"/>
      <c r="T5" s="4"/>
      <c r="U5" s="4"/>
      <c r="V5" s="4"/>
      <c r="W5" s="4"/>
      <c r="X5" s="10"/>
      <c r="Y5" s="10"/>
      <c r="Z5" s="10"/>
      <c r="AA5" s="10"/>
    </row>
    <row r="6" spans="5:30" ht="23.4" x14ac:dyDescent="0.45">
      <c r="H6" s="26" t="s">
        <v>57</v>
      </c>
      <c r="I6" s="27"/>
      <c r="J6" s="27"/>
      <c r="K6" s="41">
        <v>200</v>
      </c>
      <c r="L6" s="32" t="s">
        <v>50</v>
      </c>
      <c r="M6" s="32"/>
      <c r="N6" s="32"/>
      <c r="O6" s="20" t="s">
        <v>51</v>
      </c>
      <c r="P6" s="30" t="s">
        <v>52</v>
      </c>
      <c r="Q6" s="31"/>
      <c r="R6" s="31"/>
      <c r="S6" s="13">
        <v>0.46</v>
      </c>
      <c r="T6" s="28" t="s">
        <v>53</v>
      </c>
      <c r="U6" s="29"/>
      <c r="V6" s="29"/>
      <c r="W6" s="14">
        <f>AVERAGE(PCOD_Health_Lifestyle!J:J)</f>
        <v>7.03</v>
      </c>
      <c r="X6" s="17" t="s">
        <v>54</v>
      </c>
      <c r="Y6" s="18"/>
      <c r="Z6" s="18"/>
      <c r="AA6" s="15">
        <f>AVERAGE(PCOD_Health_Lifestyle!C:C)</f>
        <v>26.94550000000002</v>
      </c>
    </row>
    <row r="7" spans="5:30" ht="15.6" x14ac:dyDescent="0.3">
      <c r="H7" s="27"/>
      <c r="I7" s="27"/>
      <c r="J7" s="27"/>
      <c r="K7" s="12"/>
      <c r="L7" s="32"/>
      <c r="M7" s="32"/>
      <c r="N7" s="32"/>
      <c r="O7" s="21"/>
      <c r="P7" s="31"/>
      <c r="Q7" s="31"/>
      <c r="R7" s="31"/>
      <c r="S7" s="8"/>
      <c r="T7" s="29"/>
      <c r="U7" s="29"/>
      <c r="V7" s="29"/>
      <c r="W7" s="4"/>
      <c r="X7" s="18"/>
      <c r="Y7" s="18"/>
      <c r="Z7" s="18"/>
      <c r="AA7" s="10"/>
    </row>
    <row r="8" spans="5:30" x14ac:dyDescent="0.3">
      <c r="H8" s="27"/>
      <c r="I8" s="27"/>
      <c r="J8" s="27"/>
      <c r="K8" s="11"/>
      <c r="L8" s="32"/>
      <c r="M8" s="32"/>
      <c r="N8" s="32"/>
      <c r="O8" s="21"/>
      <c r="P8" s="31"/>
      <c r="Q8" s="31"/>
      <c r="R8" s="31"/>
      <c r="S8" s="8"/>
      <c r="T8" s="29"/>
      <c r="U8" s="29"/>
      <c r="V8" s="29"/>
      <c r="W8" s="4"/>
      <c r="X8" s="18"/>
      <c r="Y8" s="18"/>
      <c r="Z8" s="18"/>
      <c r="AA8" s="10"/>
    </row>
    <row r="9" spans="5:30" x14ac:dyDescent="0.3">
      <c r="H9" s="33"/>
      <c r="I9" s="33"/>
      <c r="J9" s="33"/>
      <c r="K9" s="33"/>
      <c r="L9" s="33"/>
      <c r="M9" s="33"/>
      <c r="N9" s="33"/>
      <c r="O9" s="33"/>
      <c r="P9" s="33"/>
      <c r="Q9" s="33"/>
      <c r="R9" s="33"/>
      <c r="S9" s="33"/>
      <c r="T9" s="33"/>
      <c r="U9" s="33"/>
      <c r="V9" s="33"/>
      <c r="X9" s="3"/>
      <c r="Y9" s="3"/>
      <c r="Z9" s="3"/>
    </row>
    <row r="10" spans="5:30" x14ac:dyDescent="0.3">
      <c r="H10" s="33"/>
      <c r="I10" s="33"/>
      <c r="J10" s="33"/>
      <c r="K10" s="33"/>
      <c r="L10" s="33"/>
      <c r="M10" s="33"/>
      <c r="N10" s="33"/>
      <c r="O10" s="33"/>
      <c r="P10" s="33"/>
      <c r="Q10" s="33"/>
      <c r="R10" s="33"/>
      <c r="S10" s="33"/>
      <c r="T10" s="33"/>
      <c r="U10" s="33"/>
      <c r="V10" s="33"/>
      <c r="W10" s="3"/>
      <c r="X10" s="3"/>
      <c r="Y10" s="3"/>
      <c r="Z10" s="3"/>
    </row>
    <row r="11" spans="5:30" x14ac:dyDescent="0.3">
      <c r="H11" s="33"/>
      <c r="I11" s="33"/>
      <c r="J11" s="33"/>
      <c r="K11" s="33"/>
      <c r="L11" s="33"/>
      <c r="M11" s="33"/>
      <c r="N11" s="33"/>
      <c r="O11" s="33"/>
      <c r="P11" s="33"/>
      <c r="Q11" s="33"/>
      <c r="R11" s="33"/>
      <c r="S11" s="33"/>
      <c r="T11" s="33"/>
      <c r="U11" s="33"/>
      <c r="V11" s="33"/>
      <c r="W11" s="3"/>
      <c r="X11" s="3"/>
      <c r="Y11" s="3"/>
      <c r="Z11" s="3"/>
    </row>
    <row r="12" spans="5:30" x14ac:dyDescent="0.3">
      <c r="H12" s="33"/>
      <c r="I12" s="33"/>
      <c r="J12" s="33"/>
      <c r="K12" s="33"/>
      <c r="L12" s="33"/>
      <c r="M12" s="33"/>
      <c r="N12" s="33"/>
      <c r="O12" s="33"/>
      <c r="P12" s="33"/>
      <c r="Q12" s="33"/>
      <c r="R12" s="33"/>
      <c r="S12" s="33"/>
      <c r="T12" s="33"/>
      <c r="U12" s="33"/>
      <c r="V12" s="33"/>
      <c r="W12" s="3"/>
      <c r="X12" s="3"/>
      <c r="Y12" s="3"/>
      <c r="Z12" s="3"/>
    </row>
    <row r="13" spans="5:30" x14ac:dyDescent="0.3">
      <c r="H13" s="33"/>
      <c r="I13" s="33"/>
      <c r="J13" s="33"/>
      <c r="K13" s="33"/>
      <c r="L13" s="33"/>
      <c r="M13" s="33"/>
      <c r="N13" s="33"/>
      <c r="O13" s="33"/>
      <c r="P13" s="33"/>
      <c r="Q13" s="33"/>
      <c r="R13" s="33"/>
      <c r="S13" s="33"/>
      <c r="T13" s="33"/>
      <c r="U13" s="33"/>
      <c r="V13" s="33"/>
      <c r="W13" s="3"/>
      <c r="X13" s="3"/>
      <c r="Y13" s="3"/>
      <c r="Z13" s="3"/>
    </row>
    <row r="14" spans="5:30" x14ac:dyDescent="0.3">
      <c r="H14" s="33"/>
      <c r="I14" s="33"/>
      <c r="J14" s="33"/>
      <c r="K14" s="33"/>
      <c r="L14" s="33"/>
      <c r="M14" s="33"/>
      <c r="N14" s="33"/>
      <c r="O14" s="33"/>
      <c r="P14" s="33"/>
      <c r="Q14" s="33"/>
      <c r="R14" s="33"/>
      <c r="S14" s="33"/>
      <c r="T14" s="33"/>
      <c r="U14" s="33"/>
      <c r="V14" s="33"/>
      <c r="W14" s="3"/>
      <c r="X14" s="3"/>
      <c r="Y14" s="3"/>
      <c r="Z14" s="3"/>
    </row>
    <row r="15" spans="5:30" x14ac:dyDescent="0.3">
      <c r="H15" s="33"/>
      <c r="I15" s="33"/>
      <c r="J15" s="33"/>
      <c r="K15" s="33"/>
      <c r="L15" s="33"/>
      <c r="M15" s="33"/>
      <c r="N15" s="33"/>
      <c r="O15" s="33"/>
      <c r="P15" s="33"/>
      <c r="Q15" s="33"/>
      <c r="R15" s="33"/>
      <c r="S15" s="33"/>
      <c r="T15" s="33"/>
      <c r="U15" s="33"/>
      <c r="V15" s="33"/>
      <c r="W15" s="3"/>
      <c r="X15" s="3"/>
      <c r="Y15" s="3"/>
      <c r="Z15" s="3"/>
    </row>
    <row r="16" spans="5:30" x14ac:dyDescent="0.3">
      <c r="H16" s="33"/>
      <c r="I16" s="33"/>
      <c r="J16" s="33"/>
      <c r="K16" s="33"/>
      <c r="L16" s="33"/>
      <c r="M16" s="33"/>
      <c r="N16" s="33"/>
      <c r="O16" s="33"/>
      <c r="P16" s="33"/>
      <c r="Q16" s="33"/>
      <c r="R16" s="33"/>
      <c r="S16" s="33"/>
      <c r="T16" s="33"/>
      <c r="U16" s="33"/>
      <c r="V16" s="33"/>
      <c r="W16" s="3"/>
      <c r="X16" s="3"/>
      <c r="Y16" s="3"/>
      <c r="Z16" s="3"/>
    </row>
    <row r="17" spans="8:50" x14ac:dyDescent="0.3">
      <c r="H17" s="33"/>
      <c r="I17" s="33"/>
      <c r="J17" s="33"/>
      <c r="K17" s="33"/>
      <c r="L17" s="33"/>
      <c r="M17" s="33"/>
      <c r="N17" s="33"/>
      <c r="O17" s="33"/>
      <c r="P17" s="33"/>
      <c r="Q17" s="33"/>
      <c r="R17" s="33"/>
      <c r="S17" s="33"/>
      <c r="T17" s="33"/>
      <c r="U17" s="33"/>
      <c r="V17" s="33"/>
      <c r="W17" s="3"/>
      <c r="X17" s="3"/>
      <c r="Y17" s="3"/>
      <c r="Z17" s="3"/>
    </row>
    <row r="18" spans="8:50" x14ac:dyDescent="0.3">
      <c r="H18" s="33"/>
      <c r="I18" s="33"/>
      <c r="J18" s="33"/>
      <c r="K18" s="33"/>
      <c r="L18" s="33"/>
      <c r="M18" s="33"/>
      <c r="N18" s="33"/>
      <c r="O18" s="33"/>
      <c r="P18" s="33"/>
      <c r="Q18" s="33"/>
      <c r="R18" s="33"/>
      <c r="S18" s="33"/>
      <c r="T18" s="33"/>
      <c r="U18" s="33"/>
      <c r="V18" s="33"/>
      <c r="W18" s="3"/>
      <c r="X18" s="3"/>
      <c r="Y18" s="3"/>
      <c r="Z18" s="3"/>
    </row>
    <row r="19" spans="8:50" x14ac:dyDescent="0.3">
      <c r="H19" s="33"/>
      <c r="I19" s="33"/>
      <c r="J19" s="33"/>
      <c r="K19" s="33"/>
      <c r="L19" s="33"/>
      <c r="M19" s="33"/>
      <c r="N19" s="33"/>
      <c r="O19" s="33"/>
      <c r="P19" s="33"/>
      <c r="Q19" s="33"/>
      <c r="R19" s="33"/>
      <c r="S19" s="33"/>
      <c r="T19" s="33"/>
      <c r="U19" s="33"/>
      <c r="V19" s="33"/>
      <c r="W19" s="3"/>
      <c r="X19" s="3"/>
      <c r="Y19" s="3"/>
      <c r="Z19" s="3"/>
    </row>
    <row r="20" spans="8:50" x14ac:dyDescent="0.3">
      <c r="H20" s="33"/>
      <c r="I20" s="33"/>
      <c r="J20" s="33"/>
      <c r="K20" s="33"/>
      <c r="L20" s="33"/>
      <c r="M20" s="33"/>
      <c r="N20" s="33"/>
      <c r="O20" s="33"/>
      <c r="P20" s="33"/>
      <c r="Q20" s="33"/>
      <c r="R20" s="33"/>
      <c r="S20" s="33"/>
      <c r="T20" s="33"/>
      <c r="U20" s="33"/>
      <c r="V20" s="33"/>
      <c r="W20" s="3"/>
      <c r="X20" s="3"/>
      <c r="Y20" s="3"/>
      <c r="Z20" s="3"/>
    </row>
    <row r="21" spans="8:50" x14ac:dyDescent="0.3">
      <c r="H21" s="33"/>
      <c r="I21" s="33"/>
      <c r="J21" s="33"/>
      <c r="K21" s="33"/>
      <c r="L21" s="33"/>
      <c r="M21" s="33"/>
      <c r="N21" s="33"/>
      <c r="O21" s="33"/>
      <c r="P21" s="33"/>
      <c r="Q21" s="33"/>
      <c r="R21" s="33"/>
      <c r="S21" s="33"/>
      <c r="T21" s="33"/>
      <c r="U21" s="33"/>
      <c r="V21" s="33"/>
      <c r="W21" s="3"/>
      <c r="X21" s="3"/>
      <c r="Y21" s="3"/>
      <c r="Z21" s="3"/>
    </row>
    <row r="22" spans="8:50" x14ac:dyDescent="0.3">
      <c r="H22" s="33"/>
      <c r="I22" s="33"/>
      <c r="J22" s="33"/>
      <c r="K22" s="33"/>
      <c r="L22" s="33"/>
      <c r="M22" s="33"/>
      <c r="N22" s="33"/>
      <c r="O22" s="33"/>
      <c r="P22" s="33"/>
      <c r="Q22" s="33"/>
      <c r="R22" s="33"/>
      <c r="S22" s="33"/>
      <c r="T22" s="33"/>
      <c r="U22" s="33"/>
      <c r="V22" s="33"/>
      <c r="W22" s="3"/>
      <c r="X22" s="3"/>
      <c r="Y22" s="3"/>
      <c r="Z22" s="3"/>
    </row>
    <row r="23" spans="8:50" x14ac:dyDescent="0.3">
      <c r="H23" s="33"/>
      <c r="I23" s="33"/>
      <c r="J23" s="33"/>
      <c r="K23" s="33"/>
      <c r="L23" s="33"/>
      <c r="M23" s="33"/>
      <c r="N23" s="33"/>
      <c r="O23" s="33"/>
      <c r="P23" s="33"/>
      <c r="Q23" s="33"/>
      <c r="R23" s="33"/>
      <c r="S23" s="33"/>
      <c r="T23" s="33"/>
      <c r="U23" s="33"/>
      <c r="V23" s="33"/>
      <c r="W23" s="3"/>
      <c r="X23" s="3"/>
      <c r="Y23" s="3"/>
      <c r="Z23" s="3"/>
    </row>
    <row r="24" spans="8:50" x14ac:dyDescent="0.3">
      <c r="H24" s="33"/>
      <c r="I24" s="33"/>
      <c r="J24" s="33"/>
      <c r="K24" s="33"/>
      <c r="L24" s="33"/>
      <c r="M24" s="33"/>
      <c r="N24" s="33"/>
      <c r="O24" s="33"/>
      <c r="P24" s="33"/>
      <c r="Q24" s="33"/>
      <c r="R24" s="33"/>
      <c r="S24" s="33"/>
      <c r="T24" s="33"/>
      <c r="U24" s="33"/>
      <c r="V24" s="33"/>
      <c r="W24" s="3"/>
      <c r="X24" s="3"/>
      <c r="Y24" s="3"/>
      <c r="Z24" s="3"/>
    </row>
    <row r="25" spans="8:50" x14ac:dyDescent="0.3">
      <c r="H25" s="33"/>
      <c r="I25" s="33"/>
      <c r="J25" s="33"/>
      <c r="K25" s="33"/>
      <c r="L25" s="33"/>
      <c r="M25" s="33"/>
      <c r="N25" s="33"/>
      <c r="O25" s="33"/>
      <c r="P25" s="33"/>
      <c r="Q25" s="33"/>
      <c r="R25" s="33"/>
      <c r="S25" s="33"/>
      <c r="T25" s="33"/>
      <c r="U25" s="33"/>
      <c r="V25" s="33"/>
      <c r="W25" s="3"/>
      <c r="X25" s="3"/>
      <c r="Y25" s="3"/>
      <c r="Z25" s="3"/>
    </row>
    <row r="26" spans="8:50" x14ac:dyDescent="0.3">
      <c r="H26" s="33"/>
      <c r="I26" s="33"/>
      <c r="J26" s="33"/>
      <c r="K26" s="33"/>
      <c r="L26" s="33"/>
      <c r="M26" s="33"/>
      <c r="N26" s="33"/>
      <c r="O26" s="33"/>
      <c r="P26" s="33"/>
      <c r="Q26" s="33"/>
      <c r="R26" s="33"/>
      <c r="S26" s="33"/>
      <c r="T26" s="33"/>
      <c r="U26" s="33"/>
      <c r="V26" s="33"/>
      <c r="W26" s="3"/>
      <c r="X26" s="3"/>
      <c r="Y26" s="3"/>
      <c r="Z26" s="3"/>
    </row>
    <row r="27" spans="8:50" x14ac:dyDescent="0.3">
      <c r="H27" s="33"/>
      <c r="I27" s="33"/>
      <c r="J27" s="33"/>
      <c r="K27" s="33"/>
      <c r="L27" s="33"/>
      <c r="M27" s="33"/>
      <c r="N27" s="33"/>
      <c r="O27" s="33"/>
      <c r="P27" s="33"/>
      <c r="Q27" s="33"/>
      <c r="R27" s="33"/>
      <c r="S27" s="33"/>
      <c r="T27" s="33"/>
      <c r="U27" s="33"/>
      <c r="V27" s="33"/>
      <c r="W27" s="3"/>
      <c r="X27" s="3"/>
      <c r="Y27" s="3"/>
      <c r="Z27" s="3"/>
    </row>
    <row r="28" spans="8:50" x14ac:dyDescent="0.3">
      <c r="H28" s="33"/>
      <c r="I28" s="33"/>
      <c r="J28" s="33"/>
      <c r="K28" s="33"/>
      <c r="L28" s="33"/>
      <c r="M28" s="33"/>
      <c r="N28" s="33"/>
      <c r="O28" s="33"/>
      <c r="P28" s="33"/>
      <c r="Q28" s="33"/>
      <c r="R28" s="33"/>
      <c r="S28" s="33"/>
      <c r="T28" s="33"/>
      <c r="U28" s="33"/>
      <c r="V28" s="33"/>
      <c r="W28" s="3"/>
      <c r="X28" s="3"/>
      <c r="Y28" s="3"/>
      <c r="Z28" s="3"/>
    </row>
    <row r="29" spans="8:50" x14ac:dyDescent="0.3">
      <c r="H29" s="33"/>
      <c r="I29" s="33"/>
      <c r="J29" s="33"/>
      <c r="K29" s="33"/>
      <c r="L29" s="33"/>
      <c r="M29" s="33"/>
      <c r="N29" s="33"/>
      <c r="O29" s="33"/>
      <c r="P29" s="33"/>
      <c r="Q29" s="33"/>
      <c r="R29" s="33"/>
      <c r="S29" s="33"/>
      <c r="T29" s="33"/>
      <c r="U29" s="33"/>
      <c r="V29" s="33"/>
      <c r="W29" s="3"/>
      <c r="X29" s="3"/>
      <c r="Y29" s="3"/>
      <c r="Z29" s="3"/>
    </row>
    <row r="30" spans="8:50" ht="31.2" x14ac:dyDescent="0.6">
      <c r="H30" s="33"/>
      <c r="I30" s="33"/>
      <c r="J30" s="33"/>
      <c r="K30" s="33"/>
      <c r="L30" s="33"/>
      <c r="M30" s="33"/>
      <c r="N30" s="33"/>
      <c r="O30" s="33"/>
      <c r="P30" s="33"/>
      <c r="Q30" s="33"/>
      <c r="R30" s="33"/>
      <c r="S30" s="33"/>
      <c r="T30" s="33"/>
      <c r="U30" s="33"/>
      <c r="V30" s="33"/>
      <c r="W30" s="3"/>
      <c r="X30" s="3"/>
      <c r="Y30" s="3"/>
      <c r="Z30" s="3"/>
      <c r="AC30" s="22" t="s">
        <v>55</v>
      </c>
      <c r="AD30" s="23"/>
      <c r="AE30" s="23"/>
      <c r="AF30" s="23"/>
      <c r="AG30" s="23"/>
      <c r="AH30" s="23"/>
      <c r="AI30" s="23"/>
      <c r="AJ30" s="23"/>
      <c r="AK30" s="23"/>
      <c r="AL30" s="23"/>
      <c r="AM30" s="23"/>
      <c r="AN30" s="23"/>
      <c r="AO30" s="23"/>
      <c r="AP30" s="23"/>
      <c r="AQ30" s="23"/>
      <c r="AR30" s="23"/>
      <c r="AS30" s="23"/>
      <c r="AT30" s="23"/>
      <c r="AU30" s="23"/>
      <c r="AV30" s="23"/>
      <c r="AW30" s="23"/>
      <c r="AX30" s="23"/>
    </row>
    <row r="31" spans="8:50" x14ac:dyDescent="0.3">
      <c r="H31" s="33"/>
      <c r="I31" s="33"/>
      <c r="J31" s="33"/>
      <c r="K31" s="33"/>
      <c r="L31" s="33"/>
      <c r="M31" s="33"/>
      <c r="N31" s="33"/>
      <c r="O31" s="33"/>
      <c r="P31" s="33"/>
      <c r="Q31" s="33"/>
      <c r="R31" s="33"/>
      <c r="S31" s="33"/>
      <c r="T31" s="33"/>
      <c r="U31" s="33"/>
      <c r="V31" s="33"/>
      <c r="W31" s="3"/>
      <c r="X31" s="3"/>
      <c r="Y31" s="3"/>
      <c r="Z31" s="3"/>
    </row>
    <row r="32" spans="8:50" ht="14.4" customHeight="1" x14ac:dyDescent="0.3">
      <c r="H32" s="33"/>
      <c r="I32" s="33"/>
      <c r="J32" s="33"/>
      <c r="K32" s="33"/>
      <c r="L32" s="33"/>
      <c r="M32" s="33"/>
      <c r="N32" s="33"/>
      <c r="O32" s="33"/>
      <c r="P32" s="33"/>
      <c r="Q32" s="33"/>
      <c r="R32" s="33"/>
      <c r="S32" s="33"/>
      <c r="T32" s="33"/>
      <c r="U32" s="33"/>
      <c r="V32" s="33"/>
      <c r="W32" s="3"/>
      <c r="X32" s="3"/>
      <c r="Y32" s="3"/>
      <c r="Z32" s="3"/>
      <c r="AH32" s="43" t="s">
        <v>59</v>
      </c>
      <c r="AI32" s="42"/>
      <c r="AJ32" s="42"/>
      <c r="AK32" s="42"/>
      <c r="AL32" s="42"/>
      <c r="AM32" s="42"/>
      <c r="AN32" s="42"/>
      <c r="AO32" s="42"/>
      <c r="AP32" s="42"/>
      <c r="AQ32" s="42"/>
      <c r="AR32" s="42"/>
      <c r="AS32" s="42"/>
      <c r="AT32" s="42"/>
    </row>
    <row r="33" spans="8:46" x14ac:dyDescent="0.3">
      <c r="H33" s="33"/>
      <c r="I33" s="33"/>
      <c r="J33" s="33"/>
      <c r="K33" s="33"/>
      <c r="L33" s="33"/>
      <c r="M33" s="33"/>
      <c r="N33" s="33"/>
      <c r="O33" s="33"/>
      <c r="P33" s="33"/>
      <c r="Q33" s="33"/>
      <c r="R33" s="33"/>
      <c r="S33" s="33"/>
      <c r="T33" s="33"/>
      <c r="U33" s="33"/>
      <c r="V33" s="33"/>
      <c r="W33" s="3"/>
      <c r="X33" s="3"/>
      <c r="Y33" s="3"/>
      <c r="Z33" s="3"/>
      <c r="AH33" s="42"/>
      <c r="AI33" s="42"/>
      <c r="AJ33" s="42"/>
      <c r="AK33" s="42"/>
      <c r="AL33" s="42"/>
      <c r="AM33" s="42"/>
      <c r="AN33" s="42"/>
      <c r="AO33" s="42"/>
      <c r="AP33" s="42"/>
      <c r="AQ33" s="42"/>
      <c r="AR33" s="42"/>
      <c r="AS33" s="42"/>
      <c r="AT33" s="42"/>
    </row>
    <row r="34" spans="8:46" x14ac:dyDescent="0.3">
      <c r="H34" s="33"/>
      <c r="I34" s="33"/>
      <c r="J34" s="33"/>
      <c r="K34" s="33"/>
      <c r="L34" s="33"/>
      <c r="M34" s="33"/>
      <c r="N34" s="33"/>
      <c r="O34" s="33"/>
      <c r="P34" s="33"/>
      <c r="Q34" s="33"/>
      <c r="R34" s="33"/>
      <c r="S34" s="33"/>
      <c r="T34" s="33"/>
      <c r="U34" s="33"/>
      <c r="V34" s="33"/>
      <c r="W34" s="3"/>
      <c r="X34" s="3"/>
      <c r="Y34" s="3"/>
      <c r="Z34" s="3"/>
      <c r="AH34" s="42"/>
      <c r="AI34" s="42"/>
      <c r="AJ34" s="42"/>
      <c r="AK34" s="42"/>
      <c r="AL34" s="42"/>
      <c r="AM34" s="42"/>
      <c r="AN34" s="42"/>
      <c r="AO34" s="42"/>
      <c r="AP34" s="42"/>
      <c r="AQ34" s="42"/>
      <c r="AR34" s="42"/>
      <c r="AS34" s="42"/>
      <c r="AT34" s="42"/>
    </row>
    <row r="35" spans="8:46" x14ac:dyDescent="0.3">
      <c r="H35" s="33"/>
      <c r="I35" s="33"/>
      <c r="J35" s="33"/>
      <c r="K35" s="33"/>
      <c r="L35" s="33"/>
      <c r="M35" s="33"/>
      <c r="N35" s="33"/>
      <c r="O35" s="33"/>
      <c r="P35" s="33"/>
      <c r="Q35" s="33"/>
      <c r="R35" s="33"/>
      <c r="S35" s="33"/>
      <c r="T35" s="33"/>
      <c r="U35" s="33"/>
      <c r="V35" s="33"/>
      <c r="W35" s="3"/>
      <c r="X35" s="3"/>
      <c r="Y35" s="3"/>
      <c r="Z35" s="3"/>
      <c r="AH35" s="42"/>
      <c r="AI35" s="42"/>
      <c r="AJ35" s="42"/>
      <c r="AK35" s="42"/>
      <c r="AL35" s="42"/>
      <c r="AM35" s="42"/>
      <c r="AN35" s="42"/>
      <c r="AO35" s="42"/>
      <c r="AP35" s="42"/>
      <c r="AQ35" s="42"/>
      <c r="AR35" s="42"/>
      <c r="AS35" s="42"/>
      <c r="AT35" s="42"/>
    </row>
    <row r="36" spans="8:46" x14ac:dyDescent="0.3">
      <c r="H36" s="33"/>
      <c r="I36" s="33"/>
      <c r="J36" s="33"/>
      <c r="K36" s="33"/>
      <c r="L36" s="33"/>
      <c r="M36" s="33"/>
      <c r="N36" s="33"/>
      <c r="O36" s="33"/>
      <c r="P36" s="33"/>
      <c r="Q36" s="33"/>
      <c r="R36" s="33"/>
      <c r="S36" s="33"/>
      <c r="T36" s="33"/>
      <c r="U36" s="33"/>
      <c r="V36" s="33"/>
      <c r="W36" s="3"/>
      <c r="X36" s="3"/>
      <c r="Y36" s="3"/>
      <c r="Z36" s="3"/>
      <c r="AH36" s="42"/>
      <c r="AI36" s="42"/>
      <c r="AJ36" s="42"/>
      <c r="AK36" s="42"/>
      <c r="AL36" s="42"/>
      <c r="AM36" s="42"/>
      <c r="AN36" s="42"/>
      <c r="AO36" s="42"/>
      <c r="AP36" s="42"/>
      <c r="AQ36" s="42"/>
      <c r="AR36" s="42"/>
      <c r="AS36" s="42"/>
      <c r="AT36" s="42"/>
    </row>
    <row r="37" spans="8:46" x14ac:dyDescent="0.3">
      <c r="H37" s="33"/>
      <c r="I37" s="33"/>
      <c r="J37" s="33"/>
      <c r="K37" s="33"/>
      <c r="L37" s="33"/>
      <c r="M37" s="33"/>
      <c r="N37" s="33"/>
      <c r="O37" s="33"/>
      <c r="P37" s="33"/>
      <c r="Q37" s="33"/>
      <c r="R37" s="33"/>
      <c r="S37" s="33"/>
      <c r="T37" s="33"/>
      <c r="U37" s="33"/>
      <c r="V37" s="33"/>
      <c r="W37" s="3"/>
      <c r="X37" s="3"/>
      <c r="Y37" s="3"/>
      <c r="Z37" s="3"/>
      <c r="AH37" s="42"/>
      <c r="AI37" s="42"/>
      <c r="AJ37" s="42"/>
      <c r="AK37" s="42"/>
      <c r="AL37" s="42"/>
      <c r="AM37" s="42"/>
      <c r="AN37" s="42"/>
      <c r="AO37" s="42"/>
      <c r="AP37" s="42"/>
      <c r="AQ37" s="42"/>
      <c r="AR37" s="42"/>
      <c r="AS37" s="42"/>
      <c r="AT37" s="42"/>
    </row>
    <row r="38" spans="8:46" x14ac:dyDescent="0.3">
      <c r="H38" s="33"/>
      <c r="I38" s="33"/>
      <c r="J38" s="33"/>
      <c r="K38" s="33"/>
      <c r="L38" s="33"/>
      <c r="M38" s="33"/>
      <c r="N38" s="33"/>
      <c r="O38" s="33"/>
      <c r="P38" s="33"/>
      <c r="Q38" s="33"/>
      <c r="R38" s="33"/>
      <c r="S38" s="33"/>
      <c r="T38" s="33"/>
      <c r="U38" s="33"/>
      <c r="V38" s="33"/>
      <c r="W38" s="3"/>
      <c r="X38" s="3"/>
      <c r="Y38" s="3"/>
      <c r="Z38" s="3"/>
      <c r="AH38" s="42"/>
      <c r="AI38" s="42"/>
      <c r="AJ38" s="42"/>
      <c r="AK38" s="42"/>
      <c r="AL38" s="42"/>
      <c r="AM38" s="42"/>
      <c r="AN38" s="42"/>
      <c r="AO38" s="42"/>
      <c r="AP38" s="42"/>
      <c r="AQ38" s="42"/>
      <c r="AR38" s="42"/>
      <c r="AS38" s="42"/>
      <c r="AT38" s="42"/>
    </row>
    <row r="39" spans="8:46" x14ac:dyDescent="0.3">
      <c r="H39" s="33"/>
      <c r="I39" s="33"/>
      <c r="J39" s="33"/>
      <c r="K39" s="33"/>
      <c r="L39" s="33"/>
      <c r="M39" s="33"/>
      <c r="N39" s="33"/>
      <c r="O39" s="33"/>
      <c r="P39" s="33"/>
      <c r="Q39" s="33"/>
      <c r="R39" s="33"/>
      <c r="S39" s="33"/>
      <c r="T39" s="33"/>
      <c r="U39" s="33"/>
      <c r="V39" s="33"/>
      <c r="W39" s="3"/>
      <c r="X39" s="3"/>
      <c r="Y39" s="3"/>
      <c r="Z39" s="3"/>
      <c r="AH39" s="42"/>
      <c r="AI39" s="42"/>
      <c r="AJ39" s="42"/>
      <c r="AK39" s="42"/>
      <c r="AL39" s="42"/>
      <c r="AM39" s="42"/>
      <c r="AN39" s="42"/>
      <c r="AO39" s="42"/>
      <c r="AP39" s="42"/>
      <c r="AQ39" s="42"/>
      <c r="AR39" s="42"/>
      <c r="AS39" s="42"/>
      <c r="AT39" s="42"/>
    </row>
    <row r="40" spans="8:46" x14ac:dyDescent="0.3">
      <c r="H40" s="33"/>
      <c r="I40" s="33"/>
      <c r="J40" s="33"/>
      <c r="K40" s="33"/>
      <c r="L40" s="33"/>
      <c r="M40" s="33"/>
      <c r="N40" s="33"/>
      <c r="O40" s="33"/>
      <c r="P40" s="33"/>
      <c r="Q40" s="33"/>
      <c r="R40" s="33"/>
      <c r="S40" s="33"/>
      <c r="T40" s="33"/>
      <c r="U40" s="33"/>
      <c r="V40" s="33"/>
      <c r="W40" s="3"/>
      <c r="X40" s="3"/>
      <c r="Y40" s="3"/>
      <c r="Z40" s="3"/>
      <c r="AH40" s="42"/>
      <c r="AI40" s="42"/>
      <c r="AJ40" s="42"/>
      <c r="AK40" s="42"/>
      <c r="AL40" s="42"/>
      <c r="AM40" s="42"/>
      <c r="AN40" s="42"/>
      <c r="AO40" s="42"/>
      <c r="AP40" s="42"/>
      <c r="AQ40" s="42"/>
      <c r="AR40" s="42"/>
      <c r="AS40" s="42"/>
      <c r="AT40" s="42"/>
    </row>
    <row r="41" spans="8:46" x14ac:dyDescent="0.3">
      <c r="H41" s="33"/>
      <c r="I41" s="33"/>
      <c r="J41" s="33"/>
      <c r="K41" s="33"/>
      <c r="L41" s="33"/>
      <c r="M41" s="33"/>
      <c r="N41" s="33"/>
      <c r="O41" s="33"/>
      <c r="P41" s="33"/>
      <c r="Q41" s="33"/>
      <c r="R41" s="33"/>
      <c r="S41" s="33"/>
      <c r="T41" s="33"/>
      <c r="U41" s="33"/>
      <c r="V41" s="33"/>
      <c r="W41" s="3"/>
      <c r="X41" s="3"/>
      <c r="Y41" s="3"/>
      <c r="Z41" s="3"/>
      <c r="AH41" s="42"/>
      <c r="AI41" s="42"/>
      <c r="AJ41" s="42"/>
      <c r="AK41" s="42"/>
      <c r="AL41" s="42"/>
      <c r="AM41" s="42"/>
      <c r="AN41" s="42"/>
      <c r="AO41" s="42"/>
      <c r="AP41" s="42"/>
      <c r="AQ41" s="42"/>
      <c r="AR41" s="42"/>
      <c r="AS41" s="42"/>
      <c r="AT41" s="42"/>
    </row>
    <row r="42" spans="8:46" x14ac:dyDescent="0.3">
      <c r="H42" s="33"/>
      <c r="I42" s="33"/>
      <c r="J42" s="33"/>
      <c r="K42" s="33"/>
      <c r="L42" s="33"/>
      <c r="M42" s="33"/>
      <c r="N42" s="33"/>
      <c r="O42" s="33"/>
      <c r="P42" s="33"/>
      <c r="Q42" s="33"/>
      <c r="R42" s="33"/>
      <c r="S42" s="33"/>
      <c r="T42" s="33"/>
      <c r="U42" s="33"/>
      <c r="V42" s="33"/>
      <c r="W42" s="3"/>
      <c r="X42" s="3"/>
      <c r="Y42" s="3"/>
      <c r="Z42" s="3"/>
      <c r="AH42" s="42"/>
      <c r="AI42" s="42"/>
      <c r="AJ42" s="42"/>
      <c r="AK42" s="42"/>
      <c r="AL42" s="42"/>
      <c r="AM42" s="42"/>
      <c r="AN42" s="42"/>
      <c r="AO42" s="42"/>
      <c r="AP42" s="42"/>
      <c r="AQ42" s="42"/>
      <c r="AR42" s="42"/>
      <c r="AS42" s="42"/>
      <c r="AT42" s="42"/>
    </row>
    <row r="43" spans="8:46" x14ac:dyDescent="0.3">
      <c r="H43" s="33"/>
      <c r="I43" s="33"/>
      <c r="J43" s="33"/>
      <c r="K43" s="33"/>
      <c r="L43" s="33"/>
      <c r="M43" s="33"/>
      <c r="N43" s="33"/>
      <c r="O43" s="33"/>
      <c r="P43" s="33"/>
      <c r="Q43" s="33"/>
      <c r="R43" s="33"/>
      <c r="S43" s="33"/>
      <c r="T43" s="33"/>
      <c r="U43" s="33"/>
      <c r="V43" s="33"/>
      <c r="W43" s="3"/>
      <c r="X43" s="3"/>
      <c r="Y43" s="3"/>
      <c r="Z43" s="3"/>
      <c r="AH43" s="42"/>
      <c r="AI43" s="42"/>
      <c r="AJ43" s="42"/>
      <c r="AK43" s="42"/>
      <c r="AL43" s="42"/>
      <c r="AM43" s="42"/>
      <c r="AN43" s="42"/>
      <c r="AO43" s="42"/>
      <c r="AP43" s="42"/>
      <c r="AQ43" s="42"/>
      <c r="AR43" s="42"/>
      <c r="AS43" s="42"/>
      <c r="AT43" s="42"/>
    </row>
    <row r="44" spans="8:46" x14ac:dyDescent="0.3">
      <c r="H44" s="33"/>
      <c r="I44" s="33"/>
      <c r="J44" s="33"/>
      <c r="K44" s="33"/>
      <c r="L44" s="33"/>
      <c r="M44" s="33"/>
      <c r="N44" s="33"/>
      <c r="O44" s="33"/>
      <c r="P44" s="33"/>
      <c r="Q44" s="33"/>
      <c r="R44" s="33"/>
      <c r="S44" s="33"/>
      <c r="T44" s="33"/>
      <c r="U44" s="33"/>
      <c r="V44" s="33"/>
      <c r="W44" s="3"/>
      <c r="X44" s="3"/>
      <c r="Y44" s="3"/>
      <c r="Z44" s="3"/>
      <c r="AH44" s="42"/>
      <c r="AI44" s="42"/>
      <c r="AJ44" s="42"/>
      <c r="AK44" s="42"/>
      <c r="AL44" s="42"/>
      <c r="AM44" s="42"/>
      <c r="AN44" s="42"/>
      <c r="AO44" s="42"/>
      <c r="AP44" s="42"/>
      <c r="AQ44" s="42"/>
      <c r="AR44" s="42"/>
      <c r="AS44" s="42"/>
      <c r="AT44" s="42"/>
    </row>
    <row r="45" spans="8:46" x14ac:dyDescent="0.3">
      <c r="H45" s="33"/>
      <c r="I45" s="33"/>
      <c r="J45" s="33"/>
      <c r="K45" s="33"/>
      <c r="L45" s="33"/>
      <c r="M45" s="33"/>
      <c r="N45" s="33"/>
      <c r="O45" s="33"/>
      <c r="P45" s="33"/>
      <c r="Q45" s="33"/>
      <c r="R45" s="33"/>
      <c r="S45" s="33"/>
      <c r="T45" s="33"/>
      <c r="U45" s="33"/>
      <c r="V45" s="33"/>
      <c r="W45" s="3"/>
      <c r="X45" s="3"/>
      <c r="Y45" s="3"/>
      <c r="Z45" s="3"/>
      <c r="AH45" s="42"/>
      <c r="AI45" s="42"/>
      <c r="AJ45" s="42"/>
      <c r="AK45" s="42"/>
      <c r="AL45" s="42"/>
      <c r="AM45" s="42"/>
      <c r="AN45" s="42"/>
      <c r="AO45" s="42"/>
      <c r="AP45" s="42"/>
      <c r="AQ45" s="42"/>
      <c r="AR45" s="42"/>
      <c r="AS45" s="42"/>
      <c r="AT45" s="42"/>
    </row>
    <row r="46" spans="8:46" x14ac:dyDescent="0.3">
      <c r="H46" s="33"/>
      <c r="I46" s="33"/>
      <c r="J46" s="33"/>
      <c r="K46" s="33"/>
      <c r="L46" s="33"/>
      <c r="M46" s="33"/>
      <c r="N46" s="33"/>
      <c r="O46" s="33"/>
      <c r="P46" s="33"/>
      <c r="Q46" s="33"/>
      <c r="R46" s="33"/>
      <c r="S46" s="33"/>
      <c r="T46" s="33"/>
      <c r="U46" s="33"/>
      <c r="V46" s="33"/>
      <c r="W46" s="3"/>
      <c r="X46" s="3"/>
      <c r="Y46" s="3"/>
      <c r="Z46" s="3"/>
      <c r="AH46" s="42"/>
      <c r="AI46" s="42"/>
      <c r="AJ46" s="42"/>
      <c r="AK46" s="42"/>
      <c r="AL46" s="42"/>
      <c r="AM46" s="42"/>
      <c r="AN46" s="42"/>
      <c r="AO46" s="42"/>
      <c r="AP46" s="42"/>
      <c r="AQ46" s="42"/>
      <c r="AR46" s="42"/>
      <c r="AS46" s="42"/>
      <c r="AT46" s="42"/>
    </row>
    <row r="47" spans="8:46" x14ac:dyDescent="0.3">
      <c r="H47" s="33"/>
      <c r="I47" s="33"/>
      <c r="J47" s="33"/>
      <c r="K47" s="33"/>
      <c r="L47" s="33"/>
      <c r="M47" s="33"/>
      <c r="N47" s="33"/>
      <c r="O47" s="33"/>
      <c r="P47" s="33"/>
      <c r="Q47" s="33"/>
      <c r="R47" s="33"/>
      <c r="S47" s="33"/>
      <c r="T47" s="33"/>
      <c r="U47" s="33"/>
      <c r="V47" s="33"/>
      <c r="W47" s="3"/>
      <c r="X47" s="3"/>
      <c r="Y47" s="3"/>
      <c r="Z47" s="3"/>
      <c r="AH47" s="42"/>
      <c r="AI47" s="42"/>
      <c r="AJ47" s="42"/>
      <c r="AK47" s="42"/>
      <c r="AL47" s="42"/>
      <c r="AM47" s="42"/>
      <c r="AN47" s="42"/>
      <c r="AO47" s="42"/>
      <c r="AP47" s="42"/>
      <c r="AQ47" s="42"/>
      <c r="AR47" s="42"/>
      <c r="AS47" s="42"/>
      <c r="AT47" s="42"/>
    </row>
    <row r="48" spans="8:46" x14ac:dyDescent="0.3">
      <c r="H48" s="33"/>
      <c r="I48" s="33"/>
      <c r="J48" s="33"/>
      <c r="K48" s="33"/>
      <c r="L48" s="33"/>
      <c r="M48" s="33"/>
      <c r="N48" s="33"/>
      <c r="O48" s="33"/>
      <c r="P48" s="33"/>
      <c r="Q48" s="33"/>
      <c r="R48" s="33"/>
      <c r="S48" s="33"/>
      <c r="T48" s="33"/>
      <c r="U48" s="33"/>
      <c r="V48" s="33"/>
      <c r="W48" s="3"/>
      <c r="X48" s="3"/>
      <c r="Y48" s="3"/>
      <c r="Z48" s="3"/>
      <c r="AH48" s="42"/>
      <c r="AI48" s="42"/>
      <c r="AJ48" s="42"/>
      <c r="AK48" s="42"/>
      <c r="AL48" s="42"/>
      <c r="AM48" s="42"/>
      <c r="AN48" s="42"/>
      <c r="AO48" s="42"/>
      <c r="AP48" s="42"/>
      <c r="AQ48" s="42"/>
      <c r="AR48" s="42"/>
      <c r="AS48" s="42"/>
      <c r="AT48" s="42"/>
    </row>
    <row r="49" spans="8:46" x14ac:dyDescent="0.3">
      <c r="H49" s="33"/>
      <c r="I49" s="33"/>
      <c r="J49" s="33"/>
      <c r="K49" s="33"/>
      <c r="L49" s="33"/>
      <c r="M49" s="33"/>
      <c r="N49" s="33"/>
      <c r="O49" s="33"/>
      <c r="P49" s="33"/>
      <c r="Q49" s="33"/>
      <c r="R49" s="33"/>
      <c r="S49" s="33"/>
      <c r="T49" s="33"/>
      <c r="U49" s="33"/>
      <c r="V49" s="33"/>
      <c r="W49" s="3"/>
      <c r="X49" s="3"/>
      <c r="Y49" s="3"/>
      <c r="Z49" s="3"/>
      <c r="AH49" s="42"/>
      <c r="AI49" s="42"/>
      <c r="AJ49" s="42"/>
      <c r="AK49" s="42"/>
      <c r="AL49" s="42"/>
      <c r="AM49" s="42"/>
      <c r="AN49" s="42"/>
      <c r="AO49" s="42"/>
      <c r="AP49" s="42"/>
      <c r="AQ49" s="42"/>
      <c r="AR49" s="42"/>
      <c r="AS49" s="42"/>
      <c r="AT49" s="42"/>
    </row>
    <row r="50" spans="8:46" x14ac:dyDescent="0.3">
      <c r="H50" s="33"/>
      <c r="I50" s="33"/>
      <c r="J50" s="33"/>
      <c r="K50" s="33"/>
      <c r="L50" s="33"/>
      <c r="M50" s="33"/>
      <c r="N50" s="33"/>
      <c r="O50" s="33"/>
      <c r="P50" s="33"/>
      <c r="Q50" s="33"/>
      <c r="R50" s="33"/>
      <c r="S50" s="33"/>
      <c r="T50" s="33"/>
      <c r="U50" s="33"/>
      <c r="V50" s="33"/>
      <c r="W50" s="3"/>
      <c r="X50" s="3"/>
      <c r="Y50" s="3"/>
      <c r="Z50" s="3"/>
      <c r="AH50" s="42"/>
      <c r="AI50" s="42"/>
      <c r="AJ50" s="42"/>
      <c r="AK50" s="42"/>
      <c r="AL50" s="42"/>
      <c r="AM50" s="42"/>
      <c r="AN50" s="42"/>
      <c r="AO50" s="42"/>
      <c r="AP50" s="42"/>
      <c r="AQ50" s="42"/>
      <c r="AR50" s="42"/>
      <c r="AS50" s="42"/>
      <c r="AT50" s="42"/>
    </row>
    <row r="51" spans="8:46" x14ac:dyDescent="0.3">
      <c r="H51" s="33"/>
      <c r="I51" s="33"/>
      <c r="J51" s="33"/>
      <c r="K51" s="33"/>
      <c r="L51" s="33"/>
      <c r="M51" s="33"/>
      <c r="N51" s="33"/>
      <c r="O51" s="33"/>
      <c r="P51" s="33"/>
      <c r="Q51" s="33"/>
      <c r="R51" s="33"/>
      <c r="S51" s="33"/>
      <c r="T51" s="33"/>
      <c r="U51" s="33"/>
      <c r="V51" s="33"/>
      <c r="W51" s="3"/>
      <c r="X51" s="3"/>
      <c r="Y51" s="3"/>
      <c r="Z51" s="3"/>
      <c r="AH51" s="42"/>
      <c r="AI51" s="42"/>
      <c r="AJ51" s="42"/>
      <c r="AK51" s="42"/>
      <c r="AL51" s="42"/>
      <c r="AM51" s="42"/>
      <c r="AN51" s="42"/>
      <c r="AO51" s="42"/>
      <c r="AP51" s="42"/>
      <c r="AQ51" s="42"/>
      <c r="AR51" s="42"/>
      <c r="AS51" s="42"/>
      <c r="AT51" s="42"/>
    </row>
    <row r="52" spans="8:46" x14ac:dyDescent="0.3">
      <c r="H52" s="33"/>
      <c r="I52" s="33"/>
      <c r="J52" s="33"/>
      <c r="K52" s="33"/>
      <c r="L52" s="33"/>
      <c r="M52" s="33"/>
      <c r="N52" s="33"/>
      <c r="O52" s="33"/>
      <c r="P52" s="33"/>
      <c r="Q52" s="33"/>
      <c r="R52" s="33"/>
      <c r="S52" s="33"/>
      <c r="T52" s="33"/>
      <c r="U52" s="33"/>
      <c r="V52" s="33"/>
      <c r="W52" s="3"/>
      <c r="X52" s="3"/>
      <c r="Y52" s="3"/>
      <c r="Z52" s="3"/>
    </row>
    <row r="53" spans="8:46" x14ac:dyDescent="0.3">
      <c r="H53" s="33"/>
      <c r="I53" s="33"/>
      <c r="J53" s="33"/>
      <c r="K53" s="33"/>
      <c r="L53" s="33"/>
      <c r="M53" s="33"/>
      <c r="N53" s="33"/>
      <c r="O53" s="33"/>
      <c r="P53" s="33"/>
      <c r="Q53" s="33"/>
      <c r="R53" s="33"/>
      <c r="S53" s="33"/>
      <c r="T53" s="33"/>
      <c r="U53" s="33"/>
      <c r="V53" s="33"/>
      <c r="W53" s="3"/>
      <c r="X53" s="3"/>
      <c r="Y53" s="3"/>
      <c r="Z53" s="3"/>
    </row>
    <row r="54" spans="8:46" x14ac:dyDescent="0.3">
      <c r="H54" s="33"/>
      <c r="I54" s="33"/>
      <c r="J54" s="33"/>
      <c r="K54" s="33"/>
      <c r="L54" s="33"/>
      <c r="M54" s="33"/>
      <c r="N54" s="33"/>
      <c r="O54" s="33"/>
      <c r="P54" s="33"/>
      <c r="Q54" s="33"/>
      <c r="R54" s="33"/>
      <c r="S54" s="33"/>
      <c r="T54" s="33"/>
      <c r="U54" s="33"/>
      <c r="V54" s="33"/>
      <c r="W54" s="3"/>
      <c r="X54" s="3"/>
      <c r="Y54" s="3"/>
      <c r="Z54" s="3"/>
    </row>
    <row r="55" spans="8:46" x14ac:dyDescent="0.3">
      <c r="H55" s="33"/>
      <c r="I55" s="33"/>
      <c r="J55" s="33"/>
      <c r="K55" s="33"/>
      <c r="L55" s="33"/>
      <c r="M55" s="33"/>
      <c r="N55" s="33"/>
      <c r="O55" s="33"/>
      <c r="P55" s="33"/>
      <c r="Q55" s="33"/>
      <c r="R55" s="33"/>
      <c r="S55" s="33"/>
      <c r="T55" s="33"/>
      <c r="U55" s="33"/>
      <c r="V55" s="33"/>
      <c r="W55" s="3"/>
      <c r="X55" s="3"/>
      <c r="Y55" s="3"/>
      <c r="Z55" s="3"/>
    </row>
    <row r="56" spans="8:46" x14ac:dyDescent="0.3">
      <c r="H56" s="33"/>
      <c r="I56" s="33"/>
      <c r="J56" s="33"/>
      <c r="K56" s="33"/>
      <c r="L56" s="33"/>
      <c r="M56" s="33"/>
      <c r="N56" s="33"/>
      <c r="O56" s="33"/>
      <c r="P56" s="33"/>
      <c r="Q56" s="33"/>
      <c r="R56" s="33"/>
      <c r="S56" s="33"/>
      <c r="T56" s="33"/>
      <c r="U56" s="33"/>
      <c r="V56" s="33"/>
      <c r="W56" s="3"/>
      <c r="X56" s="3"/>
      <c r="Y56" s="3"/>
      <c r="Z56" s="3"/>
    </row>
    <row r="57" spans="8:46" x14ac:dyDescent="0.3">
      <c r="H57" s="33"/>
      <c r="I57" s="33"/>
      <c r="J57" s="33"/>
      <c r="K57" s="33"/>
      <c r="L57" s="33"/>
      <c r="M57" s="33"/>
      <c r="N57" s="33"/>
      <c r="O57" s="33"/>
      <c r="P57" s="33"/>
      <c r="Q57" s="33"/>
      <c r="R57" s="33"/>
      <c r="S57" s="33"/>
      <c r="T57" s="33"/>
      <c r="U57" s="33"/>
      <c r="V57" s="33"/>
      <c r="W57" s="3"/>
      <c r="X57" s="3"/>
      <c r="Y57" s="3"/>
      <c r="Z57" s="3"/>
    </row>
    <row r="58" spans="8:46" x14ac:dyDescent="0.3">
      <c r="H58" s="33"/>
      <c r="I58" s="33"/>
      <c r="J58" s="33"/>
      <c r="K58" s="33"/>
      <c r="L58" s="33"/>
      <c r="M58" s="33"/>
      <c r="N58" s="33"/>
      <c r="O58" s="33"/>
      <c r="P58" s="33"/>
      <c r="Q58" s="33"/>
      <c r="R58" s="33"/>
      <c r="S58" s="33"/>
      <c r="T58" s="33"/>
      <c r="U58" s="33"/>
      <c r="V58" s="33"/>
      <c r="W58" s="3"/>
      <c r="X58" s="3"/>
      <c r="Y58" s="3"/>
      <c r="Z58" s="3"/>
    </row>
    <row r="59" spans="8:46" x14ac:dyDescent="0.3">
      <c r="H59" s="33"/>
      <c r="I59" s="33"/>
      <c r="J59" s="33"/>
      <c r="K59" s="33"/>
      <c r="L59" s="33"/>
      <c r="M59" s="33"/>
      <c r="N59" s="33"/>
      <c r="O59" s="33"/>
      <c r="P59" s="33"/>
      <c r="Q59" s="33"/>
      <c r="R59" s="33"/>
      <c r="S59" s="33"/>
      <c r="T59" s="33"/>
      <c r="U59" s="33"/>
      <c r="V59" s="33"/>
      <c r="W59" s="3"/>
      <c r="X59" s="3"/>
      <c r="Y59" s="3"/>
      <c r="Z59" s="3"/>
    </row>
    <row r="60" spans="8:46" x14ac:dyDescent="0.3">
      <c r="H60" s="33"/>
      <c r="I60" s="33"/>
      <c r="J60" s="33"/>
      <c r="K60" s="33"/>
      <c r="L60" s="33"/>
      <c r="M60" s="33"/>
      <c r="N60" s="33"/>
      <c r="O60" s="33"/>
      <c r="P60" s="33"/>
      <c r="Q60" s="33"/>
      <c r="R60" s="33"/>
      <c r="S60" s="33"/>
      <c r="T60" s="33"/>
      <c r="U60" s="33"/>
      <c r="V60" s="33"/>
      <c r="W60" s="3"/>
      <c r="X60" s="3"/>
      <c r="Y60" s="3"/>
      <c r="Z60" s="3"/>
    </row>
    <row r="61" spans="8:46" x14ac:dyDescent="0.3">
      <c r="H61" s="33"/>
      <c r="I61" s="33"/>
      <c r="J61" s="33"/>
      <c r="K61" s="33"/>
      <c r="L61" s="33"/>
      <c r="M61" s="33"/>
      <c r="N61" s="33"/>
      <c r="O61" s="33"/>
      <c r="P61" s="33"/>
      <c r="Q61" s="33"/>
      <c r="R61" s="33"/>
      <c r="S61" s="33"/>
      <c r="T61" s="33"/>
      <c r="U61" s="33"/>
      <c r="V61" s="33"/>
      <c r="W61" s="3"/>
      <c r="X61" s="3"/>
      <c r="Y61" s="3"/>
      <c r="Z61" s="3"/>
    </row>
    <row r="62" spans="8:46" x14ac:dyDescent="0.3">
      <c r="H62" s="33"/>
      <c r="I62" s="33"/>
      <c r="J62" s="33"/>
      <c r="K62" s="33"/>
      <c r="L62" s="33"/>
      <c r="M62" s="33"/>
      <c r="N62" s="33"/>
      <c r="O62" s="33"/>
      <c r="P62" s="33"/>
      <c r="Q62" s="33"/>
      <c r="R62" s="33"/>
      <c r="S62" s="33"/>
      <c r="T62" s="33"/>
      <c r="U62" s="33"/>
      <c r="V62" s="33"/>
      <c r="W62" s="3"/>
      <c r="X62" s="3"/>
      <c r="Y62" s="3"/>
      <c r="Z62" s="3"/>
    </row>
    <row r="63" spans="8:46" x14ac:dyDescent="0.3">
      <c r="H63" s="33"/>
      <c r="I63" s="33"/>
      <c r="J63" s="33"/>
      <c r="K63" s="33"/>
      <c r="L63" s="33"/>
      <c r="M63" s="33"/>
      <c r="N63" s="33"/>
      <c r="O63" s="33"/>
      <c r="P63" s="33"/>
      <c r="Q63" s="33"/>
      <c r="R63" s="33"/>
      <c r="S63" s="33"/>
      <c r="T63" s="33"/>
      <c r="U63" s="33"/>
      <c r="V63" s="33"/>
      <c r="W63" s="3"/>
      <c r="X63" s="3"/>
      <c r="Y63" s="3"/>
      <c r="Z63" s="3"/>
    </row>
    <row r="64" spans="8:46" x14ac:dyDescent="0.3">
      <c r="H64" s="33"/>
      <c r="I64" s="33"/>
      <c r="J64" s="33"/>
      <c r="K64" s="33"/>
      <c r="L64" s="33"/>
      <c r="M64" s="33"/>
      <c r="N64" s="33"/>
      <c r="O64" s="33"/>
      <c r="P64" s="33"/>
      <c r="Q64" s="33"/>
      <c r="R64" s="33"/>
      <c r="S64" s="33"/>
      <c r="T64" s="33"/>
      <c r="U64" s="33"/>
      <c r="V64" s="33"/>
      <c r="W64" s="3"/>
      <c r="X64" s="3"/>
      <c r="Y64" s="3"/>
      <c r="Z64" s="3"/>
    </row>
    <row r="65" spans="8:26" x14ac:dyDescent="0.3">
      <c r="H65" s="33"/>
      <c r="I65" s="33"/>
      <c r="J65" s="33"/>
      <c r="K65" s="33"/>
      <c r="L65" s="33"/>
      <c r="M65" s="33"/>
      <c r="N65" s="33"/>
      <c r="O65" s="33"/>
      <c r="P65" s="33"/>
      <c r="Q65" s="33"/>
      <c r="R65" s="33"/>
      <c r="S65" s="33"/>
      <c r="T65" s="33"/>
      <c r="U65" s="33"/>
      <c r="V65" s="33"/>
      <c r="W65" s="3"/>
      <c r="X65" s="3"/>
      <c r="Y65" s="3"/>
      <c r="Z65" s="3"/>
    </row>
    <row r="66" spans="8:26" x14ac:dyDescent="0.3">
      <c r="H66" s="33"/>
      <c r="I66" s="33"/>
      <c r="J66" s="33"/>
      <c r="K66" s="33"/>
      <c r="L66" s="33"/>
      <c r="M66" s="33"/>
      <c r="N66" s="33"/>
      <c r="O66" s="33"/>
      <c r="P66" s="33"/>
      <c r="Q66" s="33"/>
      <c r="R66" s="33"/>
      <c r="S66" s="33"/>
      <c r="T66" s="33"/>
      <c r="U66" s="33"/>
      <c r="V66" s="33"/>
      <c r="W66" s="3"/>
      <c r="X66" s="3"/>
      <c r="Y66" s="3"/>
      <c r="Z66" s="3"/>
    </row>
    <row r="67" spans="8:26" x14ac:dyDescent="0.3">
      <c r="H67" s="33"/>
      <c r="I67" s="33"/>
      <c r="J67" s="33"/>
      <c r="K67" s="33"/>
      <c r="L67" s="33"/>
      <c r="M67" s="33"/>
      <c r="N67" s="33"/>
      <c r="O67" s="33"/>
      <c r="P67" s="33"/>
      <c r="Q67" s="33"/>
      <c r="R67" s="33"/>
      <c r="S67" s="33"/>
      <c r="T67" s="33"/>
      <c r="U67" s="33"/>
      <c r="V67" s="33"/>
      <c r="W67" s="3"/>
      <c r="X67" s="3"/>
      <c r="Y67" s="3"/>
      <c r="Z67" s="3"/>
    </row>
    <row r="68" spans="8:26" x14ac:dyDescent="0.3">
      <c r="H68" s="33"/>
      <c r="I68" s="33"/>
      <c r="J68" s="33"/>
      <c r="K68" s="33"/>
      <c r="L68" s="33"/>
      <c r="M68" s="33"/>
      <c r="N68" s="33"/>
      <c r="O68" s="33"/>
      <c r="P68" s="33"/>
      <c r="Q68" s="33"/>
      <c r="R68" s="33"/>
      <c r="S68" s="33"/>
      <c r="T68" s="33"/>
      <c r="U68" s="33"/>
      <c r="V68" s="33"/>
      <c r="W68" s="3"/>
      <c r="X68" s="3"/>
      <c r="Y68" s="3"/>
      <c r="Z68" s="3"/>
    </row>
    <row r="69" spans="8:26" x14ac:dyDescent="0.3">
      <c r="H69" s="33"/>
      <c r="I69" s="33"/>
      <c r="J69" s="33"/>
      <c r="K69" s="33"/>
      <c r="L69" s="33"/>
      <c r="M69" s="33"/>
      <c r="N69" s="33"/>
      <c r="O69" s="33"/>
      <c r="P69" s="33"/>
      <c r="Q69" s="33"/>
      <c r="R69" s="33"/>
      <c r="S69" s="33"/>
      <c r="T69" s="33"/>
      <c r="U69" s="33"/>
      <c r="V69" s="33"/>
      <c r="W69" s="3"/>
      <c r="X69" s="3"/>
      <c r="Y69" s="3"/>
      <c r="Z69" s="3"/>
    </row>
    <row r="70" spans="8:26" x14ac:dyDescent="0.3">
      <c r="H70" s="33"/>
      <c r="I70" s="33"/>
      <c r="J70" s="33"/>
      <c r="K70" s="33"/>
      <c r="L70" s="33"/>
      <c r="M70" s="33"/>
      <c r="N70" s="33"/>
      <c r="O70" s="33"/>
      <c r="P70" s="33"/>
      <c r="Q70" s="33"/>
      <c r="R70" s="33"/>
      <c r="S70" s="33"/>
      <c r="T70" s="33"/>
      <c r="U70" s="33"/>
      <c r="V70" s="33"/>
      <c r="W70" s="3"/>
      <c r="X70" s="3"/>
      <c r="Y70" s="3"/>
      <c r="Z70" s="3"/>
    </row>
    <row r="71" spans="8:26" x14ac:dyDescent="0.3">
      <c r="H71" s="33"/>
      <c r="I71" s="33"/>
      <c r="J71" s="33"/>
      <c r="K71" s="33"/>
      <c r="L71" s="33"/>
      <c r="M71" s="33"/>
      <c r="N71" s="33"/>
      <c r="O71" s="33"/>
      <c r="P71" s="33"/>
      <c r="Q71" s="33"/>
      <c r="R71" s="33"/>
      <c r="S71" s="33"/>
      <c r="T71" s="33"/>
      <c r="U71" s="33"/>
      <c r="V71" s="33"/>
      <c r="W71" s="3"/>
      <c r="X71" s="3"/>
      <c r="Y71" s="3"/>
      <c r="Z71" s="3"/>
    </row>
    <row r="72" spans="8:26" x14ac:dyDescent="0.3">
      <c r="H72" s="33"/>
      <c r="I72" s="33"/>
      <c r="J72" s="33"/>
      <c r="K72" s="33"/>
      <c r="L72" s="33"/>
      <c r="M72" s="33"/>
      <c r="N72" s="33"/>
      <c r="O72" s="33"/>
      <c r="P72" s="33"/>
      <c r="Q72" s="33"/>
      <c r="R72" s="33"/>
      <c r="S72" s="33"/>
      <c r="T72" s="33"/>
      <c r="U72" s="33"/>
      <c r="V72" s="33"/>
      <c r="W72" s="3"/>
      <c r="X72" s="3"/>
      <c r="Y72" s="3"/>
      <c r="Z72" s="3"/>
    </row>
    <row r="73" spans="8:26" x14ac:dyDescent="0.3">
      <c r="H73" s="33"/>
      <c r="I73" s="33"/>
      <c r="J73" s="33"/>
      <c r="K73" s="33"/>
      <c r="L73" s="33"/>
      <c r="M73" s="33"/>
      <c r="N73" s="33"/>
      <c r="O73" s="33"/>
      <c r="P73" s="33"/>
      <c r="Q73" s="33"/>
      <c r="R73" s="33"/>
      <c r="S73" s="33"/>
      <c r="T73" s="33"/>
      <c r="U73" s="33"/>
      <c r="V73" s="33"/>
      <c r="W73" s="3"/>
      <c r="X73" s="3"/>
      <c r="Y73" s="3"/>
      <c r="Z73" s="3"/>
    </row>
    <row r="74" spans="8:26" x14ac:dyDescent="0.3">
      <c r="H74" s="33"/>
      <c r="I74" s="33"/>
      <c r="J74" s="33"/>
      <c r="K74" s="33"/>
      <c r="L74" s="33"/>
      <c r="M74" s="33"/>
      <c r="N74" s="33"/>
      <c r="O74" s="33"/>
      <c r="P74" s="33"/>
      <c r="Q74" s="33"/>
      <c r="R74" s="33"/>
      <c r="S74" s="33"/>
      <c r="T74" s="33"/>
      <c r="U74" s="33"/>
      <c r="V74" s="33"/>
      <c r="W74" s="3"/>
      <c r="X74" s="3"/>
      <c r="Y74" s="3"/>
      <c r="Z74" s="3"/>
    </row>
    <row r="75" spans="8:26" x14ac:dyDescent="0.3">
      <c r="H75" s="33"/>
      <c r="I75" s="33"/>
      <c r="J75" s="33"/>
      <c r="K75" s="33"/>
      <c r="L75" s="33"/>
      <c r="M75" s="33"/>
      <c r="N75" s="33"/>
      <c r="O75" s="33"/>
      <c r="P75" s="33"/>
      <c r="Q75" s="33"/>
      <c r="R75" s="33"/>
      <c r="S75" s="33"/>
      <c r="T75" s="33"/>
      <c r="U75" s="33"/>
      <c r="V75" s="33"/>
      <c r="W75" s="3"/>
      <c r="X75" s="3"/>
      <c r="Y75" s="3"/>
      <c r="Z75" s="3"/>
    </row>
    <row r="76" spans="8:26" x14ac:dyDescent="0.3">
      <c r="H76" s="33"/>
      <c r="I76" s="33"/>
      <c r="J76" s="33"/>
      <c r="K76" s="33"/>
      <c r="L76" s="33"/>
      <c r="M76" s="33"/>
      <c r="N76" s="33"/>
      <c r="O76" s="33"/>
      <c r="P76" s="33"/>
      <c r="Q76" s="33"/>
      <c r="R76" s="33"/>
      <c r="S76" s="33"/>
      <c r="T76" s="33"/>
      <c r="U76" s="33"/>
      <c r="V76" s="33"/>
      <c r="W76" s="3"/>
      <c r="X76" s="3"/>
      <c r="Y76" s="3"/>
      <c r="Z76" s="3"/>
    </row>
    <row r="77" spans="8:26" x14ac:dyDescent="0.3">
      <c r="H77" s="33"/>
      <c r="I77" s="33"/>
      <c r="J77" s="33"/>
      <c r="K77" s="33"/>
      <c r="L77" s="33"/>
      <c r="M77" s="33"/>
      <c r="N77" s="33"/>
      <c r="O77" s="33"/>
      <c r="P77" s="33"/>
      <c r="Q77" s="33"/>
      <c r="R77" s="33"/>
      <c r="S77" s="33"/>
      <c r="T77" s="33"/>
      <c r="U77" s="33"/>
      <c r="V77" s="33"/>
      <c r="W77" s="3"/>
      <c r="X77" s="3"/>
      <c r="Y77" s="3"/>
      <c r="Z77" s="3"/>
    </row>
    <row r="78" spans="8:26" x14ac:dyDescent="0.3">
      <c r="H78" s="33"/>
      <c r="I78" s="33"/>
      <c r="J78" s="33"/>
      <c r="K78" s="33"/>
      <c r="L78" s="33"/>
      <c r="M78" s="33"/>
      <c r="N78" s="33"/>
      <c r="O78" s="33"/>
      <c r="P78" s="33"/>
      <c r="Q78" s="33"/>
      <c r="R78" s="33"/>
      <c r="S78" s="33"/>
      <c r="T78" s="33"/>
      <c r="U78" s="33"/>
      <c r="V78" s="33"/>
      <c r="W78" s="3"/>
      <c r="X78" s="3"/>
      <c r="Y78" s="3"/>
      <c r="Z78" s="3"/>
    </row>
    <row r="79" spans="8:26" x14ac:dyDescent="0.3">
      <c r="H79" s="33"/>
      <c r="I79" s="33"/>
      <c r="J79" s="33"/>
      <c r="K79" s="33"/>
      <c r="L79" s="33"/>
      <c r="M79" s="33"/>
      <c r="N79" s="33"/>
      <c r="O79" s="33"/>
      <c r="P79" s="33"/>
      <c r="Q79" s="33"/>
      <c r="R79" s="33"/>
      <c r="S79" s="33"/>
      <c r="T79" s="33"/>
      <c r="U79" s="33"/>
      <c r="V79" s="33"/>
      <c r="W79" s="3"/>
      <c r="X79" s="3"/>
      <c r="Y79" s="3"/>
      <c r="Z79" s="3"/>
    </row>
    <row r="80" spans="8:26" x14ac:dyDescent="0.3">
      <c r="H80" s="33"/>
      <c r="I80" s="33"/>
      <c r="J80" s="33"/>
      <c r="K80" s="33"/>
      <c r="L80" s="33"/>
      <c r="M80" s="33"/>
      <c r="N80" s="33"/>
      <c r="O80" s="33"/>
      <c r="P80" s="33"/>
      <c r="Q80" s="33"/>
      <c r="R80" s="33"/>
      <c r="S80" s="33"/>
      <c r="T80" s="33"/>
      <c r="U80" s="33"/>
      <c r="V80" s="33"/>
      <c r="W80" s="3"/>
      <c r="X80" s="3"/>
      <c r="Y80" s="3"/>
      <c r="Z80" s="3"/>
    </row>
    <row r="81" spans="8:26" x14ac:dyDescent="0.3">
      <c r="H81" s="33"/>
      <c r="I81" s="33"/>
      <c r="J81" s="33"/>
      <c r="K81" s="33"/>
      <c r="L81" s="33"/>
      <c r="M81" s="33"/>
      <c r="N81" s="33"/>
      <c r="O81" s="33"/>
      <c r="P81" s="33"/>
      <c r="Q81" s="33"/>
      <c r="R81" s="33"/>
      <c r="S81" s="33"/>
      <c r="T81" s="33"/>
      <c r="U81" s="33"/>
      <c r="V81" s="33"/>
      <c r="W81" s="3"/>
      <c r="X81" s="3"/>
      <c r="Y81" s="3"/>
      <c r="Z81" s="3"/>
    </row>
    <row r="82" spans="8:26" x14ac:dyDescent="0.3">
      <c r="H82" s="33"/>
      <c r="I82" s="33"/>
      <c r="J82" s="33"/>
      <c r="K82" s="33"/>
      <c r="L82" s="33"/>
      <c r="M82" s="33"/>
      <c r="N82" s="33"/>
      <c r="O82" s="33"/>
      <c r="P82" s="33"/>
      <c r="Q82" s="33"/>
      <c r="R82" s="33"/>
      <c r="S82" s="33"/>
      <c r="T82" s="33"/>
      <c r="U82" s="33"/>
      <c r="V82" s="33"/>
      <c r="W82" s="3"/>
      <c r="X82" s="3"/>
      <c r="Y82" s="3"/>
      <c r="Z82" s="3"/>
    </row>
    <row r="83" spans="8:26" x14ac:dyDescent="0.3">
      <c r="H83" s="33"/>
      <c r="I83" s="33"/>
      <c r="J83" s="33"/>
      <c r="K83" s="33"/>
      <c r="L83" s="33"/>
      <c r="M83" s="33"/>
      <c r="N83" s="33"/>
      <c r="O83" s="33"/>
      <c r="P83" s="33"/>
      <c r="Q83" s="33"/>
      <c r="R83" s="33"/>
      <c r="S83" s="33"/>
      <c r="T83" s="33"/>
      <c r="U83" s="33"/>
      <c r="V83" s="33"/>
      <c r="W83" s="3"/>
      <c r="X83" s="3"/>
      <c r="Y83" s="3"/>
      <c r="Z83" s="3"/>
    </row>
    <row r="84" spans="8:26" x14ac:dyDescent="0.3">
      <c r="H84" s="33"/>
      <c r="I84" s="33"/>
      <c r="J84" s="33"/>
      <c r="K84" s="33"/>
      <c r="L84" s="33"/>
      <c r="M84" s="33"/>
      <c r="N84" s="33"/>
      <c r="O84" s="33"/>
      <c r="P84" s="33"/>
      <c r="Q84" s="33"/>
      <c r="R84" s="33"/>
      <c r="S84" s="33"/>
      <c r="T84" s="33"/>
      <c r="U84" s="33"/>
      <c r="V84" s="33"/>
      <c r="W84" s="3"/>
      <c r="X84" s="3"/>
      <c r="Y84" s="3"/>
      <c r="Z84" s="3"/>
    </row>
    <row r="85" spans="8:26" x14ac:dyDescent="0.3">
      <c r="H85" s="33"/>
      <c r="I85" s="33"/>
      <c r="J85" s="33"/>
      <c r="K85" s="33"/>
      <c r="L85" s="33"/>
      <c r="M85" s="33"/>
      <c r="N85" s="33"/>
      <c r="O85" s="33"/>
      <c r="P85" s="33"/>
      <c r="Q85" s="33"/>
      <c r="R85" s="33"/>
      <c r="S85" s="33"/>
      <c r="T85" s="33"/>
      <c r="U85" s="33"/>
      <c r="V85" s="33"/>
      <c r="W85" s="3"/>
      <c r="X85" s="3"/>
      <c r="Y85" s="3"/>
      <c r="Z85" s="3"/>
    </row>
    <row r="86" spans="8:26" x14ac:dyDescent="0.3">
      <c r="H86" s="33"/>
      <c r="I86" s="33"/>
      <c r="J86" s="33"/>
      <c r="K86" s="33"/>
      <c r="L86" s="33"/>
      <c r="M86" s="33"/>
      <c r="N86" s="33"/>
      <c r="O86" s="33"/>
      <c r="P86" s="33"/>
      <c r="Q86" s="33"/>
      <c r="R86" s="33"/>
      <c r="S86" s="33"/>
      <c r="T86" s="33"/>
      <c r="U86" s="33"/>
      <c r="V86" s="33"/>
      <c r="W86" s="3"/>
      <c r="X86" s="3"/>
      <c r="Y86" s="3"/>
      <c r="Z86" s="3"/>
    </row>
    <row r="87" spans="8:26" x14ac:dyDescent="0.3">
      <c r="H87" s="33"/>
      <c r="I87" s="33"/>
      <c r="J87" s="33"/>
      <c r="K87" s="33"/>
      <c r="L87" s="33"/>
      <c r="M87" s="33"/>
      <c r="N87" s="33"/>
      <c r="O87" s="33"/>
      <c r="P87" s="33"/>
      <c r="Q87" s="33"/>
      <c r="R87" s="33"/>
      <c r="S87" s="33"/>
      <c r="T87" s="33"/>
      <c r="U87" s="33"/>
      <c r="V87" s="33"/>
      <c r="W87" s="3"/>
      <c r="X87" s="3"/>
      <c r="Y87" s="3"/>
      <c r="Z87" s="3"/>
    </row>
    <row r="88" spans="8:26" x14ac:dyDescent="0.3">
      <c r="H88" s="33"/>
      <c r="I88" s="33"/>
      <c r="J88" s="33"/>
      <c r="K88" s="33"/>
      <c r="L88" s="33"/>
      <c r="M88" s="33"/>
      <c r="N88" s="33"/>
      <c r="O88" s="33"/>
      <c r="P88" s="33"/>
      <c r="Q88" s="33"/>
      <c r="R88" s="33"/>
      <c r="S88" s="33"/>
      <c r="T88" s="33"/>
      <c r="U88" s="33"/>
      <c r="V88" s="33"/>
      <c r="W88" s="3"/>
      <c r="X88" s="3"/>
      <c r="Y88" s="3"/>
      <c r="Z88" s="3"/>
    </row>
    <row r="89" spans="8:26" x14ac:dyDescent="0.3">
      <c r="H89" s="33"/>
      <c r="I89" s="33"/>
      <c r="J89" s="33"/>
      <c r="K89" s="33"/>
      <c r="L89" s="33"/>
      <c r="M89" s="33"/>
      <c r="N89" s="33"/>
      <c r="O89" s="33"/>
      <c r="P89" s="33"/>
      <c r="Q89" s="33"/>
      <c r="R89" s="33"/>
      <c r="S89" s="33"/>
      <c r="T89" s="33"/>
      <c r="U89" s="33"/>
      <c r="V89" s="33"/>
      <c r="W89" s="3"/>
      <c r="X89" s="3"/>
      <c r="Y89" s="3"/>
      <c r="Z89" s="3"/>
    </row>
    <row r="90" spans="8:26" x14ac:dyDescent="0.3">
      <c r="H90" s="33"/>
      <c r="I90" s="33"/>
      <c r="J90" s="33"/>
      <c r="K90" s="33"/>
      <c r="L90" s="33"/>
      <c r="M90" s="33"/>
      <c r="N90" s="33"/>
      <c r="O90" s="33"/>
      <c r="P90" s="33"/>
      <c r="Q90" s="33"/>
      <c r="R90" s="33"/>
      <c r="S90" s="33"/>
      <c r="T90" s="33"/>
      <c r="U90" s="33"/>
      <c r="V90" s="33"/>
      <c r="W90" s="3"/>
      <c r="X90" s="3"/>
      <c r="Y90" s="3"/>
      <c r="Z90" s="3"/>
    </row>
    <row r="91" spans="8:26" x14ac:dyDescent="0.3">
      <c r="H91" s="33"/>
      <c r="I91" s="33"/>
      <c r="J91" s="33"/>
      <c r="K91" s="33"/>
      <c r="L91" s="33"/>
      <c r="M91" s="33"/>
      <c r="N91" s="33"/>
      <c r="O91" s="33"/>
      <c r="P91" s="33"/>
      <c r="Q91" s="33"/>
      <c r="R91" s="33"/>
      <c r="S91" s="33"/>
      <c r="T91" s="33"/>
      <c r="U91" s="33"/>
      <c r="V91" s="33"/>
      <c r="W91" s="3"/>
      <c r="X91" s="3"/>
      <c r="Y91" s="3"/>
      <c r="Z91" s="3"/>
    </row>
    <row r="92" spans="8:26" x14ac:dyDescent="0.3">
      <c r="H92" s="33"/>
      <c r="I92" s="33"/>
      <c r="J92" s="33"/>
      <c r="K92" s="33"/>
      <c r="L92" s="33"/>
      <c r="M92" s="33"/>
      <c r="N92" s="33"/>
      <c r="O92" s="33"/>
      <c r="P92" s="33"/>
      <c r="Q92" s="33"/>
      <c r="R92" s="33"/>
      <c r="S92" s="33"/>
      <c r="T92" s="33"/>
      <c r="U92" s="33"/>
      <c r="V92" s="33"/>
      <c r="W92" s="3"/>
      <c r="X92" s="3"/>
      <c r="Y92" s="3"/>
      <c r="Z92" s="3"/>
    </row>
    <row r="93" spans="8:26" x14ac:dyDescent="0.3">
      <c r="H93" s="33"/>
      <c r="I93" s="33"/>
      <c r="J93" s="33"/>
      <c r="K93" s="33"/>
      <c r="L93" s="33"/>
      <c r="M93" s="33"/>
      <c r="N93" s="33"/>
      <c r="O93" s="33"/>
      <c r="P93" s="33"/>
      <c r="Q93" s="33"/>
      <c r="R93" s="33"/>
      <c r="S93" s="33"/>
      <c r="T93" s="33"/>
      <c r="U93" s="33"/>
      <c r="V93" s="33"/>
      <c r="W93" s="3"/>
      <c r="X93" s="3"/>
      <c r="Y93" s="3"/>
      <c r="Z93" s="3"/>
    </row>
    <row r="94" spans="8:26" x14ac:dyDescent="0.3">
      <c r="H94" s="33"/>
      <c r="I94" s="33"/>
      <c r="J94" s="33"/>
      <c r="K94" s="33"/>
      <c r="L94" s="33"/>
      <c r="M94" s="33"/>
      <c r="N94" s="33"/>
      <c r="O94" s="33"/>
      <c r="P94" s="33"/>
      <c r="Q94" s="33"/>
      <c r="R94" s="33"/>
      <c r="S94" s="33"/>
      <c r="T94" s="33"/>
      <c r="U94" s="33"/>
      <c r="V94" s="33"/>
      <c r="W94" s="3"/>
      <c r="X94" s="3"/>
      <c r="Y94" s="3"/>
      <c r="Z94" s="3"/>
    </row>
    <row r="95" spans="8:26" x14ac:dyDescent="0.3">
      <c r="H95" s="33"/>
      <c r="I95" s="33"/>
      <c r="J95" s="33"/>
      <c r="K95" s="33"/>
      <c r="L95" s="33"/>
      <c r="M95" s="33"/>
      <c r="N95" s="33"/>
      <c r="O95" s="33"/>
      <c r="P95" s="33"/>
      <c r="Q95" s="33"/>
      <c r="R95" s="33"/>
      <c r="S95" s="33"/>
      <c r="T95" s="33"/>
      <c r="U95" s="33"/>
      <c r="V95" s="33"/>
      <c r="W95" s="3"/>
      <c r="X95" s="3"/>
      <c r="Y95" s="3"/>
      <c r="Z95" s="3"/>
    </row>
    <row r="96" spans="8:26" x14ac:dyDescent="0.3">
      <c r="H96" s="33"/>
      <c r="I96" s="33"/>
      <c r="J96" s="33"/>
      <c r="K96" s="33"/>
      <c r="L96" s="33"/>
      <c r="M96" s="33"/>
      <c r="N96" s="33"/>
      <c r="O96" s="33"/>
      <c r="P96" s="33"/>
      <c r="Q96" s="33"/>
      <c r="R96" s="33"/>
      <c r="S96" s="33"/>
      <c r="T96" s="33"/>
      <c r="U96" s="33"/>
      <c r="V96" s="33"/>
      <c r="W96" s="3"/>
      <c r="X96" s="3"/>
      <c r="Y96" s="3"/>
      <c r="Z96" s="3"/>
    </row>
    <row r="97" spans="8:26" x14ac:dyDescent="0.3">
      <c r="H97" s="33"/>
      <c r="I97" s="33"/>
      <c r="J97" s="33"/>
      <c r="K97" s="33"/>
      <c r="L97" s="33"/>
      <c r="M97" s="33"/>
      <c r="N97" s="33"/>
      <c r="O97" s="33"/>
      <c r="P97" s="33"/>
      <c r="Q97" s="33"/>
      <c r="R97" s="33"/>
      <c r="S97" s="33"/>
      <c r="T97" s="33"/>
      <c r="U97" s="33"/>
      <c r="V97" s="33"/>
      <c r="W97" s="3"/>
      <c r="X97" s="3"/>
      <c r="Y97" s="3"/>
      <c r="Z97" s="3"/>
    </row>
    <row r="98" spans="8:26" x14ac:dyDescent="0.3">
      <c r="H98" s="33"/>
      <c r="I98" s="33"/>
      <c r="J98" s="33"/>
      <c r="K98" s="33"/>
      <c r="L98" s="33"/>
      <c r="M98" s="33"/>
      <c r="N98" s="33"/>
      <c r="O98" s="33"/>
      <c r="P98" s="33"/>
      <c r="Q98" s="33"/>
      <c r="R98" s="33"/>
      <c r="S98" s="33"/>
      <c r="T98" s="33"/>
      <c r="U98" s="33"/>
      <c r="V98" s="33"/>
      <c r="W98" s="3"/>
      <c r="X98" s="3"/>
      <c r="Y98" s="3"/>
      <c r="Z98" s="3"/>
    </row>
    <row r="99" spans="8:26" x14ac:dyDescent="0.3">
      <c r="H99" s="33"/>
      <c r="I99" s="33"/>
      <c r="J99" s="33"/>
      <c r="K99" s="33"/>
      <c r="L99" s="33"/>
      <c r="M99" s="33"/>
      <c r="N99" s="33"/>
      <c r="O99" s="33"/>
      <c r="P99" s="33"/>
      <c r="Q99" s="33"/>
      <c r="R99" s="33"/>
      <c r="S99" s="33"/>
      <c r="T99" s="33"/>
      <c r="U99" s="33"/>
      <c r="V99" s="33"/>
      <c r="W99" s="3"/>
      <c r="X99" s="3"/>
      <c r="Y99" s="3"/>
      <c r="Z99" s="3"/>
    </row>
    <row r="100" spans="8:26" x14ac:dyDescent="0.3">
      <c r="H100" s="33"/>
      <c r="I100" s="33"/>
      <c r="J100" s="33"/>
      <c r="K100" s="33"/>
      <c r="L100" s="33"/>
      <c r="M100" s="33"/>
      <c r="N100" s="33"/>
      <c r="O100" s="33"/>
      <c r="P100" s="33"/>
      <c r="Q100" s="33"/>
      <c r="R100" s="33"/>
      <c r="S100" s="33"/>
      <c r="T100" s="33"/>
      <c r="U100" s="33"/>
      <c r="V100" s="33"/>
      <c r="W100" s="3"/>
      <c r="X100" s="3"/>
      <c r="Y100" s="3"/>
      <c r="Z100" s="3"/>
    </row>
    <row r="101" spans="8:26" x14ac:dyDescent="0.3">
      <c r="H101" s="33"/>
      <c r="I101" s="33"/>
      <c r="J101" s="33"/>
      <c r="K101" s="33"/>
      <c r="L101" s="33"/>
      <c r="M101" s="33"/>
      <c r="N101" s="33"/>
      <c r="O101" s="33"/>
      <c r="P101" s="33"/>
      <c r="Q101" s="33"/>
      <c r="R101" s="33"/>
      <c r="S101" s="33"/>
      <c r="T101" s="33"/>
      <c r="U101" s="33"/>
      <c r="V101" s="33"/>
      <c r="W101" s="3"/>
      <c r="X101" s="3"/>
      <c r="Y101" s="3"/>
      <c r="Z101" s="3"/>
    </row>
    <row r="102" spans="8:26" x14ac:dyDescent="0.3">
      <c r="H102" s="33"/>
      <c r="I102" s="33"/>
      <c r="J102" s="33"/>
      <c r="K102" s="33"/>
      <c r="L102" s="33"/>
      <c r="M102" s="33"/>
      <c r="N102" s="33"/>
      <c r="O102" s="33"/>
      <c r="P102" s="33"/>
      <c r="Q102" s="33"/>
      <c r="R102" s="33"/>
      <c r="S102" s="33"/>
      <c r="T102" s="33"/>
      <c r="U102" s="33"/>
      <c r="V102" s="33"/>
      <c r="W102" s="3"/>
      <c r="X102" s="3"/>
      <c r="Y102" s="3"/>
      <c r="Z102" s="3"/>
    </row>
    <row r="103" spans="8:26" x14ac:dyDescent="0.3">
      <c r="H103" s="33"/>
      <c r="I103" s="33"/>
      <c r="J103" s="33"/>
      <c r="K103" s="33"/>
      <c r="L103" s="33"/>
      <c r="M103" s="33"/>
      <c r="N103" s="33"/>
      <c r="O103" s="33"/>
      <c r="P103" s="33"/>
      <c r="Q103" s="33"/>
      <c r="R103" s="33"/>
      <c r="S103" s="33"/>
      <c r="T103" s="33"/>
      <c r="U103" s="33"/>
      <c r="V103" s="33"/>
      <c r="W103" s="3"/>
      <c r="X103" s="3"/>
      <c r="Y103" s="3"/>
      <c r="Z103" s="3"/>
    </row>
    <row r="104" spans="8:26" x14ac:dyDescent="0.3">
      <c r="H104" s="33"/>
      <c r="I104" s="33"/>
      <c r="J104" s="33"/>
      <c r="K104" s="33"/>
      <c r="L104" s="33"/>
      <c r="M104" s="33"/>
      <c r="N104" s="33"/>
      <c r="O104" s="33"/>
      <c r="P104" s="33"/>
      <c r="Q104" s="33"/>
      <c r="R104" s="33"/>
      <c r="S104" s="33"/>
      <c r="T104" s="33"/>
      <c r="U104" s="33"/>
      <c r="V104" s="33"/>
      <c r="W104" s="3"/>
      <c r="X104" s="3"/>
      <c r="Y104" s="3"/>
      <c r="Z104" s="3"/>
    </row>
    <row r="105" spans="8:26" x14ac:dyDescent="0.3">
      <c r="H105" s="33"/>
      <c r="I105" s="33"/>
      <c r="J105" s="33"/>
      <c r="K105" s="33"/>
      <c r="L105" s="33"/>
      <c r="M105" s="33"/>
      <c r="N105" s="33"/>
      <c r="O105" s="33"/>
      <c r="P105" s="33"/>
      <c r="Q105" s="33"/>
      <c r="R105" s="33"/>
      <c r="S105" s="33"/>
      <c r="T105" s="33"/>
      <c r="U105" s="33"/>
      <c r="V105" s="33"/>
      <c r="W105" s="3"/>
      <c r="X105" s="3"/>
      <c r="Y105" s="3"/>
      <c r="Z105" s="3"/>
    </row>
    <row r="106" spans="8:26" x14ac:dyDescent="0.3">
      <c r="H106" s="33"/>
      <c r="I106" s="33"/>
      <c r="J106" s="33"/>
      <c r="K106" s="33"/>
      <c r="L106" s="33"/>
      <c r="M106" s="33"/>
      <c r="N106" s="33"/>
      <c r="O106" s="33"/>
      <c r="P106" s="33"/>
      <c r="Q106" s="33"/>
      <c r="R106" s="33"/>
      <c r="S106" s="33"/>
      <c r="T106" s="33"/>
      <c r="U106" s="33"/>
      <c r="V106" s="33"/>
      <c r="W106" s="3"/>
      <c r="X106" s="3"/>
      <c r="Y106" s="3"/>
      <c r="Z106" s="3"/>
    </row>
    <row r="107" spans="8:26" x14ac:dyDescent="0.3">
      <c r="H107" s="33"/>
      <c r="I107" s="33"/>
      <c r="J107" s="33"/>
      <c r="K107" s="33"/>
      <c r="L107" s="33"/>
      <c r="M107" s="33"/>
      <c r="N107" s="33"/>
      <c r="O107" s="33"/>
      <c r="P107" s="33"/>
      <c r="Q107" s="33"/>
      <c r="R107" s="33"/>
      <c r="S107" s="33"/>
      <c r="T107" s="33"/>
      <c r="U107" s="33"/>
      <c r="V107" s="33"/>
      <c r="W107" s="3"/>
      <c r="X107" s="3"/>
      <c r="Y107" s="3"/>
      <c r="Z107" s="3"/>
    </row>
    <row r="108" spans="8:26" x14ac:dyDescent="0.3">
      <c r="H108" s="33"/>
      <c r="I108" s="33"/>
      <c r="J108" s="33"/>
      <c r="K108" s="33"/>
      <c r="L108" s="33"/>
      <c r="M108" s="33"/>
      <c r="N108" s="33"/>
      <c r="O108" s="33"/>
      <c r="P108" s="33"/>
      <c r="Q108" s="33"/>
      <c r="R108" s="33"/>
      <c r="S108" s="33"/>
      <c r="T108" s="33"/>
      <c r="U108" s="33"/>
      <c r="V108" s="33"/>
      <c r="W108" s="3"/>
      <c r="X108" s="3"/>
      <c r="Y108" s="3"/>
      <c r="Z108" s="3"/>
    </row>
    <row r="109" spans="8:26" x14ac:dyDescent="0.3">
      <c r="H109" s="33"/>
      <c r="I109" s="33"/>
      <c r="J109" s="33"/>
      <c r="K109" s="33"/>
      <c r="L109" s="33"/>
      <c r="M109" s="33"/>
      <c r="N109" s="33"/>
      <c r="O109" s="33"/>
      <c r="P109" s="33"/>
      <c r="Q109" s="33"/>
      <c r="R109" s="33"/>
      <c r="S109" s="33"/>
      <c r="T109" s="33"/>
      <c r="U109" s="33"/>
      <c r="V109" s="33"/>
      <c r="W109" s="3"/>
      <c r="X109" s="3"/>
      <c r="Y109" s="3"/>
      <c r="Z109" s="3"/>
    </row>
    <row r="110" spans="8:26" x14ac:dyDescent="0.3">
      <c r="H110" s="33"/>
      <c r="I110" s="33"/>
      <c r="J110" s="33"/>
      <c r="K110" s="33"/>
      <c r="L110" s="33"/>
      <c r="M110" s="33"/>
      <c r="N110" s="33"/>
      <c r="O110" s="33"/>
      <c r="P110" s="33"/>
      <c r="Q110" s="33"/>
      <c r="R110" s="33"/>
      <c r="S110" s="33"/>
      <c r="T110" s="33"/>
      <c r="U110" s="33"/>
      <c r="V110" s="33"/>
      <c r="W110" s="3"/>
      <c r="X110" s="3"/>
      <c r="Y110" s="3"/>
      <c r="Z110" s="3"/>
    </row>
    <row r="111" spans="8:26" x14ac:dyDescent="0.3">
      <c r="H111" s="33"/>
      <c r="I111" s="33"/>
      <c r="J111" s="33"/>
      <c r="K111" s="33"/>
      <c r="L111" s="33"/>
      <c r="M111" s="33"/>
      <c r="N111" s="33"/>
      <c r="O111" s="33"/>
      <c r="P111" s="33"/>
      <c r="Q111" s="33"/>
      <c r="R111" s="33"/>
      <c r="S111" s="33"/>
      <c r="T111" s="33"/>
      <c r="U111" s="33"/>
      <c r="V111" s="33"/>
      <c r="W111" s="3"/>
      <c r="X111" s="3"/>
      <c r="Y111" s="3"/>
      <c r="Z111" s="3"/>
    </row>
    <row r="112" spans="8:26" x14ac:dyDescent="0.3">
      <c r="H112" s="33"/>
      <c r="I112" s="33"/>
      <c r="J112" s="33"/>
      <c r="K112" s="33"/>
      <c r="L112" s="33"/>
      <c r="M112" s="33"/>
      <c r="N112" s="33"/>
      <c r="O112" s="33"/>
      <c r="P112" s="33"/>
      <c r="Q112" s="33"/>
      <c r="R112" s="33"/>
      <c r="S112" s="33"/>
      <c r="T112" s="33"/>
      <c r="U112" s="33"/>
      <c r="V112" s="33"/>
      <c r="W112" s="3"/>
      <c r="X112" s="3"/>
      <c r="Y112" s="3"/>
      <c r="Z112" s="3"/>
    </row>
    <row r="113" spans="8:26" x14ac:dyDescent="0.3">
      <c r="H113" s="33"/>
      <c r="I113" s="33"/>
      <c r="J113" s="33"/>
      <c r="K113" s="33"/>
      <c r="L113" s="33"/>
      <c r="M113" s="33"/>
      <c r="N113" s="33"/>
      <c r="O113" s="33"/>
      <c r="P113" s="33"/>
      <c r="Q113" s="33"/>
      <c r="R113" s="33"/>
      <c r="S113" s="33"/>
      <c r="T113" s="33"/>
      <c r="U113" s="33"/>
      <c r="V113" s="33"/>
      <c r="W113" s="3"/>
      <c r="X113" s="3"/>
      <c r="Y113" s="3"/>
      <c r="Z113" s="3"/>
    </row>
    <row r="114" spans="8:26" x14ac:dyDescent="0.3">
      <c r="H114" s="33"/>
      <c r="I114" s="33"/>
      <c r="J114" s="33"/>
      <c r="K114" s="33"/>
      <c r="L114" s="33"/>
      <c r="M114" s="33"/>
      <c r="N114" s="33"/>
      <c r="O114" s="33"/>
      <c r="P114" s="33"/>
      <c r="Q114" s="33"/>
      <c r="R114" s="33"/>
      <c r="S114" s="33"/>
      <c r="T114" s="33"/>
      <c r="U114" s="33"/>
      <c r="V114" s="33"/>
      <c r="W114" s="3"/>
      <c r="X114" s="3"/>
      <c r="Y114" s="3"/>
      <c r="Z114" s="3"/>
    </row>
    <row r="115" spans="8:26" x14ac:dyDescent="0.3">
      <c r="H115" s="33"/>
      <c r="I115" s="33"/>
      <c r="J115" s="33"/>
      <c r="K115" s="33"/>
      <c r="L115" s="33"/>
      <c r="M115" s="33"/>
      <c r="N115" s="33"/>
      <c r="O115" s="33"/>
      <c r="P115" s="33"/>
      <c r="Q115" s="33"/>
      <c r="R115" s="33"/>
      <c r="S115" s="33"/>
      <c r="T115" s="33"/>
      <c r="U115" s="33"/>
      <c r="V115" s="33"/>
      <c r="W115" s="3"/>
      <c r="X115" s="3"/>
      <c r="Y115" s="3"/>
      <c r="Z115" s="3"/>
    </row>
    <row r="116" spans="8:26" x14ac:dyDescent="0.3">
      <c r="H116" s="33"/>
      <c r="I116" s="33"/>
      <c r="J116" s="33"/>
      <c r="K116" s="33"/>
      <c r="L116" s="33"/>
      <c r="M116" s="33"/>
      <c r="N116" s="33"/>
      <c r="O116" s="33"/>
      <c r="P116" s="33"/>
      <c r="Q116" s="33"/>
      <c r="R116" s="33"/>
      <c r="S116" s="33"/>
      <c r="T116" s="33"/>
      <c r="U116" s="33"/>
      <c r="V116" s="33"/>
      <c r="W116" s="3"/>
      <c r="X116" s="3"/>
      <c r="Y116" s="3"/>
      <c r="Z116" s="3"/>
    </row>
    <row r="117" spans="8:26" x14ac:dyDescent="0.3">
      <c r="H117" s="33"/>
      <c r="I117" s="33"/>
      <c r="J117" s="33"/>
      <c r="K117" s="33"/>
      <c r="L117" s="33"/>
      <c r="M117" s="33"/>
      <c r="N117" s="33"/>
      <c r="O117" s="33"/>
      <c r="P117" s="33"/>
      <c r="Q117" s="33"/>
      <c r="R117" s="33"/>
      <c r="S117" s="33"/>
      <c r="T117" s="33"/>
      <c r="U117" s="33"/>
      <c r="V117" s="33"/>
      <c r="W117" s="3"/>
      <c r="X117" s="3"/>
      <c r="Y117" s="3"/>
      <c r="Z117" s="3"/>
    </row>
    <row r="118" spans="8:26" x14ac:dyDescent="0.3">
      <c r="H118" s="33"/>
      <c r="I118" s="33"/>
      <c r="J118" s="33"/>
      <c r="K118" s="33"/>
      <c r="L118" s="33"/>
      <c r="M118" s="33"/>
      <c r="N118" s="33"/>
      <c r="O118" s="33"/>
      <c r="P118" s="33"/>
      <c r="Q118" s="33"/>
      <c r="R118" s="33"/>
      <c r="S118" s="33"/>
      <c r="T118" s="33"/>
      <c r="U118" s="33"/>
      <c r="V118" s="33"/>
      <c r="W118" s="3"/>
      <c r="X118" s="3"/>
      <c r="Y118" s="3"/>
      <c r="Z118" s="3"/>
    </row>
    <row r="119" spans="8:26" x14ac:dyDescent="0.3">
      <c r="H119" s="33"/>
      <c r="I119" s="33"/>
      <c r="J119" s="33"/>
      <c r="K119" s="33"/>
      <c r="L119" s="33"/>
      <c r="M119" s="33"/>
      <c r="N119" s="33"/>
      <c r="O119" s="33"/>
      <c r="P119" s="33"/>
      <c r="Q119" s="33"/>
      <c r="R119" s="33"/>
      <c r="S119" s="33"/>
      <c r="T119" s="33"/>
      <c r="U119" s="33"/>
      <c r="V119" s="33"/>
      <c r="W119" s="3"/>
      <c r="X119" s="3"/>
      <c r="Y119" s="3"/>
      <c r="Z119" s="3"/>
    </row>
    <row r="120" spans="8:26" x14ac:dyDescent="0.3">
      <c r="H120" s="33"/>
      <c r="I120" s="33"/>
      <c r="J120" s="33"/>
      <c r="K120" s="33"/>
      <c r="L120" s="33"/>
      <c r="M120" s="33"/>
      <c r="N120" s="33"/>
      <c r="O120" s="33"/>
      <c r="P120" s="33"/>
      <c r="Q120" s="33"/>
      <c r="R120" s="33"/>
      <c r="S120" s="33"/>
      <c r="T120" s="33"/>
      <c r="U120" s="33"/>
      <c r="V120" s="33"/>
      <c r="W120" s="3"/>
      <c r="X120" s="3"/>
      <c r="Y120" s="3"/>
      <c r="Z120" s="3"/>
    </row>
    <row r="121" spans="8:26" x14ac:dyDescent="0.3">
      <c r="H121" s="33"/>
      <c r="I121" s="33"/>
      <c r="J121" s="33"/>
      <c r="K121" s="33"/>
      <c r="L121" s="33"/>
      <c r="M121" s="33"/>
      <c r="N121" s="33"/>
      <c r="O121" s="33"/>
      <c r="P121" s="33"/>
      <c r="Q121" s="33"/>
      <c r="R121" s="33"/>
      <c r="S121" s="33"/>
      <c r="T121" s="33"/>
      <c r="U121" s="33"/>
      <c r="V121" s="33"/>
      <c r="W121" s="3"/>
      <c r="X121" s="3"/>
      <c r="Y121" s="3"/>
      <c r="Z121" s="3"/>
    </row>
    <row r="122" spans="8:26" x14ac:dyDescent="0.3">
      <c r="H122" s="33"/>
      <c r="I122" s="33"/>
      <c r="J122" s="33"/>
      <c r="K122" s="33"/>
      <c r="L122" s="33"/>
      <c r="M122" s="33"/>
      <c r="N122" s="33"/>
      <c r="O122" s="33"/>
      <c r="P122" s="33"/>
      <c r="Q122" s="33"/>
      <c r="R122" s="33"/>
      <c r="S122" s="33"/>
      <c r="T122" s="33"/>
      <c r="U122" s="33"/>
      <c r="V122" s="33"/>
      <c r="W122" s="3"/>
      <c r="X122" s="3"/>
      <c r="Y122" s="3"/>
      <c r="Z122" s="3"/>
    </row>
    <row r="123" spans="8:26" x14ac:dyDescent="0.3">
      <c r="H123" s="33"/>
      <c r="I123" s="33"/>
      <c r="J123" s="33"/>
      <c r="K123" s="33"/>
      <c r="L123" s="33"/>
      <c r="M123" s="33"/>
      <c r="N123" s="33"/>
      <c r="O123" s="33"/>
      <c r="P123" s="33"/>
      <c r="Q123" s="33"/>
      <c r="R123" s="33"/>
      <c r="S123" s="33"/>
      <c r="T123" s="33"/>
      <c r="U123" s="33"/>
      <c r="V123" s="33"/>
      <c r="W123" s="3"/>
      <c r="X123" s="3"/>
      <c r="Y123" s="3"/>
      <c r="Z123" s="3"/>
    </row>
    <row r="124" spans="8:26" x14ac:dyDescent="0.3">
      <c r="H124" s="33"/>
      <c r="I124" s="33"/>
      <c r="J124" s="33"/>
      <c r="K124" s="33"/>
      <c r="L124" s="33"/>
      <c r="M124" s="33"/>
      <c r="N124" s="33"/>
      <c r="O124" s="33"/>
      <c r="P124" s="33"/>
      <c r="Q124" s="33"/>
      <c r="R124" s="33"/>
      <c r="S124" s="33"/>
      <c r="T124" s="33"/>
      <c r="U124" s="33"/>
      <c r="V124" s="33"/>
      <c r="W124" s="3"/>
      <c r="X124" s="3"/>
      <c r="Y124" s="3"/>
      <c r="Z124" s="3"/>
    </row>
    <row r="125" spans="8:26" x14ac:dyDescent="0.3">
      <c r="H125" s="33"/>
      <c r="I125" s="33"/>
      <c r="J125" s="33"/>
      <c r="K125" s="33"/>
      <c r="L125" s="33"/>
      <c r="M125" s="33"/>
      <c r="N125" s="33"/>
      <c r="O125" s="33"/>
      <c r="P125" s="33"/>
      <c r="Q125" s="33"/>
      <c r="R125" s="33"/>
      <c r="S125" s="33"/>
      <c r="T125" s="33"/>
      <c r="U125" s="33"/>
      <c r="V125" s="33"/>
      <c r="W125" s="3"/>
      <c r="X125" s="3"/>
      <c r="Y125" s="3"/>
      <c r="Z125" s="3"/>
    </row>
    <row r="126" spans="8:26" x14ac:dyDescent="0.3">
      <c r="H126" s="33"/>
      <c r="I126" s="33"/>
      <c r="J126" s="33"/>
      <c r="K126" s="33"/>
      <c r="L126" s="33"/>
      <c r="M126" s="33"/>
      <c r="N126" s="33"/>
      <c r="O126" s="33"/>
      <c r="P126" s="33"/>
      <c r="Q126" s="33"/>
      <c r="R126" s="33"/>
      <c r="S126" s="33"/>
      <c r="T126" s="33"/>
      <c r="U126" s="33"/>
      <c r="V126" s="33"/>
      <c r="W126" s="3"/>
      <c r="X126" s="3"/>
      <c r="Y126" s="3"/>
      <c r="Z126" s="3"/>
    </row>
    <row r="127" spans="8:26" x14ac:dyDescent="0.3">
      <c r="H127" s="33"/>
      <c r="I127" s="33"/>
      <c r="J127" s="33"/>
      <c r="K127" s="33"/>
      <c r="L127" s="33"/>
      <c r="M127" s="33"/>
      <c r="N127" s="33"/>
      <c r="O127" s="33"/>
      <c r="P127" s="33"/>
      <c r="Q127" s="33"/>
      <c r="R127" s="33"/>
      <c r="S127" s="33"/>
      <c r="T127" s="33"/>
      <c r="U127" s="33"/>
      <c r="V127" s="33"/>
      <c r="W127" s="3"/>
      <c r="X127" s="3"/>
      <c r="Y127" s="3"/>
      <c r="Z127" s="3"/>
    </row>
    <row r="128" spans="8:26" x14ac:dyDescent="0.3">
      <c r="H128" s="33"/>
      <c r="I128" s="33"/>
      <c r="J128" s="33"/>
      <c r="K128" s="33"/>
      <c r="L128" s="33"/>
      <c r="M128" s="33"/>
      <c r="N128" s="33"/>
      <c r="O128" s="33"/>
      <c r="P128" s="33"/>
      <c r="Q128" s="33"/>
      <c r="R128" s="33"/>
      <c r="S128" s="33"/>
      <c r="T128" s="33"/>
      <c r="U128" s="33"/>
      <c r="V128" s="33"/>
      <c r="W128" s="3"/>
      <c r="X128" s="3"/>
      <c r="Y128" s="3"/>
      <c r="Z128" s="3"/>
    </row>
    <row r="129" spans="8:26" x14ac:dyDescent="0.3">
      <c r="H129" s="33"/>
      <c r="I129" s="33"/>
      <c r="J129" s="33"/>
      <c r="K129" s="33"/>
      <c r="L129" s="33"/>
      <c r="M129" s="33"/>
      <c r="N129" s="33"/>
      <c r="O129" s="33"/>
      <c r="P129" s="33"/>
      <c r="Q129" s="33"/>
      <c r="R129" s="33"/>
      <c r="S129" s="33"/>
      <c r="T129" s="33"/>
      <c r="U129" s="33"/>
      <c r="V129" s="33"/>
      <c r="W129" s="3"/>
      <c r="X129" s="3"/>
      <c r="Y129" s="3"/>
      <c r="Z129" s="3"/>
    </row>
    <row r="130" spans="8:26" x14ac:dyDescent="0.3">
      <c r="H130" s="33"/>
      <c r="I130" s="33"/>
      <c r="J130" s="33"/>
      <c r="K130" s="33"/>
      <c r="L130" s="33"/>
      <c r="M130" s="33"/>
      <c r="N130" s="33"/>
      <c r="O130" s="33"/>
      <c r="P130" s="33"/>
      <c r="Q130" s="33"/>
      <c r="R130" s="33"/>
      <c r="S130" s="33"/>
      <c r="T130" s="33"/>
      <c r="U130" s="33"/>
      <c r="V130" s="33"/>
      <c r="W130" s="3"/>
      <c r="X130" s="3"/>
      <c r="Y130" s="3"/>
      <c r="Z130" s="3"/>
    </row>
    <row r="131" spans="8:26" x14ac:dyDescent="0.3">
      <c r="H131" s="33"/>
      <c r="I131" s="33"/>
      <c r="J131" s="33"/>
      <c r="K131" s="33"/>
      <c r="L131" s="33"/>
      <c r="M131" s="33"/>
      <c r="N131" s="33"/>
      <c r="O131" s="33"/>
      <c r="P131" s="33"/>
      <c r="Q131" s="33"/>
      <c r="R131" s="33"/>
      <c r="S131" s="33"/>
      <c r="T131" s="33"/>
      <c r="U131" s="33"/>
      <c r="V131" s="33"/>
      <c r="W131" s="3"/>
      <c r="X131" s="3"/>
      <c r="Y131" s="3"/>
      <c r="Z131" s="3"/>
    </row>
    <row r="132" spans="8:26" x14ac:dyDescent="0.3">
      <c r="H132" s="33"/>
      <c r="I132" s="33"/>
      <c r="J132" s="33"/>
      <c r="K132" s="33"/>
      <c r="L132" s="33"/>
      <c r="M132" s="33"/>
      <c r="N132" s="33"/>
      <c r="O132" s="33"/>
      <c r="P132" s="33"/>
      <c r="Q132" s="33"/>
      <c r="R132" s="33"/>
      <c r="S132" s="33"/>
      <c r="T132" s="33"/>
      <c r="U132" s="33"/>
      <c r="V132" s="33"/>
      <c r="W132" s="3"/>
      <c r="X132" s="3"/>
      <c r="Y132" s="3"/>
      <c r="Z132" s="3"/>
    </row>
    <row r="133" spans="8:26" x14ac:dyDescent="0.3">
      <c r="H133" s="33"/>
      <c r="I133" s="33"/>
      <c r="J133" s="33"/>
      <c r="K133" s="33"/>
      <c r="L133" s="33"/>
      <c r="M133" s="33"/>
      <c r="N133" s="33"/>
      <c r="O133" s="33"/>
      <c r="P133" s="33"/>
      <c r="Q133" s="33"/>
      <c r="R133" s="33"/>
      <c r="S133" s="33"/>
      <c r="T133" s="33"/>
      <c r="U133" s="33"/>
      <c r="V133" s="33"/>
      <c r="W133" s="3"/>
      <c r="X133" s="3"/>
      <c r="Y133" s="3"/>
      <c r="Z133" s="3"/>
    </row>
    <row r="134" spans="8:26" x14ac:dyDescent="0.3">
      <c r="H134" s="33"/>
      <c r="I134" s="33"/>
      <c r="J134" s="33"/>
      <c r="K134" s="33"/>
      <c r="L134" s="33"/>
      <c r="M134" s="33"/>
      <c r="N134" s="33"/>
      <c r="O134" s="33"/>
      <c r="P134" s="33"/>
      <c r="Q134" s="33"/>
      <c r="R134" s="33"/>
      <c r="S134" s="33"/>
      <c r="T134" s="33"/>
      <c r="U134" s="33"/>
      <c r="V134" s="33"/>
      <c r="W134" s="3"/>
      <c r="X134" s="3"/>
      <c r="Y134" s="3"/>
      <c r="Z134" s="3"/>
    </row>
    <row r="135" spans="8:26" x14ac:dyDescent="0.3">
      <c r="H135" s="33"/>
      <c r="I135" s="33"/>
      <c r="J135" s="33"/>
      <c r="K135" s="33"/>
      <c r="L135" s="33"/>
      <c r="M135" s="33"/>
      <c r="N135" s="33"/>
      <c r="O135" s="33"/>
      <c r="P135" s="33"/>
      <c r="Q135" s="33"/>
      <c r="R135" s="33"/>
      <c r="S135" s="33"/>
      <c r="T135" s="33"/>
      <c r="U135" s="33"/>
      <c r="V135" s="33"/>
      <c r="W135" s="3"/>
      <c r="X135" s="3"/>
      <c r="Y135" s="3"/>
      <c r="Z135" s="3"/>
    </row>
    <row r="136" spans="8:26" x14ac:dyDescent="0.3">
      <c r="H136" s="33"/>
      <c r="I136" s="33"/>
      <c r="J136" s="33"/>
      <c r="K136" s="33"/>
      <c r="L136" s="33"/>
      <c r="M136" s="33"/>
      <c r="N136" s="33"/>
      <c r="O136" s="33"/>
      <c r="P136" s="33"/>
      <c r="Q136" s="33"/>
      <c r="R136" s="33"/>
      <c r="S136" s="33"/>
      <c r="T136" s="33"/>
      <c r="U136" s="33"/>
      <c r="V136" s="33"/>
      <c r="W136" s="3"/>
      <c r="X136" s="3"/>
      <c r="Y136" s="3"/>
      <c r="Z136" s="3"/>
    </row>
    <row r="137" spans="8:26" x14ac:dyDescent="0.3">
      <c r="H137" s="33"/>
      <c r="I137" s="33"/>
      <c r="J137" s="33"/>
      <c r="K137" s="33"/>
      <c r="L137" s="33"/>
      <c r="M137" s="33"/>
      <c r="N137" s="33"/>
      <c r="O137" s="33"/>
      <c r="P137" s="33"/>
      <c r="Q137" s="33"/>
      <c r="R137" s="33"/>
      <c r="S137" s="33"/>
      <c r="T137" s="33"/>
      <c r="U137" s="33"/>
      <c r="V137" s="33"/>
      <c r="W137" s="3"/>
      <c r="X137" s="3"/>
      <c r="Y137" s="3"/>
      <c r="Z137" s="3"/>
    </row>
    <row r="138" spans="8:26" x14ac:dyDescent="0.3">
      <c r="H138" s="33"/>
      <c r="I138" s="33"/>
      <c r="J138" s="33"/>
      <c r="K138" s="33"/>
      <c r="L138" s="33"/>
      <c r="M138" s="33"/>
      <c r="N138" s="33"/>
      <c r="O138" s="33"/>
      <c r="P138" s="33"/>
      <c r="Q138" s="33"/>
      <c r="R138" s="33"/>
      <c r="S138" s="33"/>
      <c r="T138" s="33"/>
      <c r="U138" s="33"/>
      <c r="V138" s="33"/>
      <c r="W138" s="3"/>
      <c r="X138" s="3"/>
      <c r="Y138" s="3"/>
      <c r="Z138" s="3"/>
    </row>
    <row r="139" spans="8:26" x14ac:dyDescent="0.3">
      <c r="H139" s="33"/>
      <c r="I139" s="33"/>
      <c r="J139" s="33"/>
      <c r="K139" s="33"/>
      <c r="L139" s="33"/>
      <c r="M139" s="33"/>
      <c r="N139" s="33"/>
      <c r="O139" s="33"/>
      <c r="P139" s="33"/>
      <c r="Q139" s="33"/>
      <c r="R139" s="33"/>
      <c r="S139" s="33"/>
      <c r="T139" s="33"/>
      <c r="U139" s="33"/>
      <c r="V139" s="33"/>
      <c r="W139" s="3"/>
      <c r="X139" s="3"/>
      <c r="Y139" s="3"/>
      <c r="Z139" s="3"/>
    </row>
    <row r="140" spans="8:26" x14ac:dyDescent="0.3">
      <c r="H140" s="33"/>
      <c r="I140" s="33"/>
      <c r="J140" s="33"/>
      <c r="K140" s="33"/>
      <c r="L140" s="33"/>
      <c r="M140" s="33"/>
      <c r="N140" s="33"/>
      <c r="O140" s="33"/>
      <c r="P140" s="33"/>
      <c r="Q140" s="33"/>
      <c r="R140" s="33"/>
      <c r="S140" s="33"/>
      <c r="T140" s="33"/>
      <c r="U140" s="33"/>
      <c r="V140" s="33"/>
      <c r="W140" s="3"/>
      <c r="X140" s="3"/>
      <c r="Y140" s="3"/>
      <c r="Z140" s="3"/>
    </row>
    <row r="141" spans="8:26" x14ac:dyDescent="0.3">
      <c r="H141" s="33"/>
      <c r="I141" s="33"/>
      <c r="J141" s="33"/>
      <c r="K141" s="33"/>
      <c r="L141" s="33"/>
      <c r="M141" s="33"/>
      <c r="N141" s="33"/>
      <c r="O141" s="33"/>
      <c r="P141" s="33"/>
      <c r="Q141" s="33"/>
      <c r="R141" s="33"/>
      <c r="S141" s="33"/>
      <c r="T141" s="33"/>
      <c r="U141" s="33"/>
      <c r="V141" s="33"/>
      <c r="W141" s="3"/>
      <c r="X141" s="3"/>
      <c r="Y141" s="3"/>
      <c r="Z141" s="3"/>
    </row>
    <row r="142" spans="8:26" x14ac:dyDescent="0.3">
      <c r="H142" s="33"/>
      <c r="I142" s="33"/>
      <c r="J142" s="33"/>
      <c r="K142" s="33"/>
      <c r="L142" s="33"/>
      <c r="M142" s="33"/>
      <c r="N142" s="33"/>
      <c r="O142" s="33"/>
      <c r="P142" s="33"/>
      <c r="Q142" s="33"/>
      <c r="R142" s="33"/>
      <c r="S142" s="33"/>
      <c r="T142" s="33"/>
      <c r="U142" s="33"/>
      <c r="V142" s="33"/>
      <c r="W142" s="3"/>
      <c r="X142" s="3"/>
      <c r="Y142" s="3"/>
      <c r="Z142" s="3"/>
    </row>
    <row r="143" spans="8:26" x14ac:dyDescent="0.3">
      <c r="H143" s="33"/>
      <c r="I143" s="33"/>
      <c r="J143" s="33"/>
      <c r="K143" s="33"/>
      <c r="L143" s="33"/>
      <c r="M143" s="33"/>
      <c r="N143" s="33"/>
      <c r="O143" s="33"/>
      <c r="P143" s="33"/>
      <c r="Q143" s="33"/>
      <c r="R143" s="33"/>
      <c r="S143" s="33"/>
      <c r="T143" s="33"/>
      <c r="U143" s="33"/>
      <c r="V143" s="33"/>
      <c r="W143" s="3"/>
      <c r="X143" s="3"/>
      <c r="Y143" s="3"/>
      <c r="Z143" s="3"/>
    </row>
    <row r="144" spans="8:26" x14ac:dyDescent="0.3">
      <c r="H144" s="33"/>
      <c r="I144" s="33"/>
      <c r="J144" s="33"/>
      <c r="K144" s="33"/>
      <c r="L144" s="33"/>
      <c r="M144" s="33"/>
      <c r="N144" s="33"/>
      <c r="O144" s="33"/>
      <c r="P144" s="33"/>
      <c r="Q144" s="33"/>
      <c r="R144" s="33"/>
      <c r="S144" s="33"/>
      <c r="T144" s="33"/>
      <c r="U144" s="33"/>
      <c r="V144" s="33"/>
      <c r="W144" s="3"/>
      <c r="X144" s="3"/>
      <c r="Y144" s="3"/>
      <c r="Z144" s="3"/>
    </row>
    <row r="145" spans="8:26" x14ac:dyDescent="0.3">
      <c r="H145" s="33"/>
      <c r="I145" s="33"/>
      <c r="J145" s="33"/>
      <c r="K145" s="33"/>
      <c r="L145" s="33"/>
      <c r="M145" s="33"/>
      <c r="N145" s="33"/>
      <c r="O145" s="33"/>
      <c r="P145" s="33"/>
      <c r="Q145" s="33"/>
      <c r="R145" s="33"/>
      <c r="S145" s="33"/>
      <c r="T145" s="33"/>
      <c r="U145" s="33"/>
      <c r="V145" s="33"/>
      <c r="W145" s="3"/>
      <c r="X145" s="3"/>
      <c r="Y145" s="3"/>
      <c r="Z145" s="3"/>
    </row>
    <row r="146" spans="8:26" x14ac:dyDescent="0.3">
      <c r="H146" s="33"/>
      <c r="I146" s="33"/>
      <c r="J146" s="33"/>
      <c r="K146" s="33"/>
      <c r="L146" s="33"/>
      <c r="M146" s="33"/>
      <c r="N146" s="33"/>
      <c r="O146" s="33"/>
      <c r="P146" s="33"/>
      <c r="Q146" s="33"/>
      <c r="R146" s="33"/>
      <c r="S146" s="33"/>
      <c r="T146" s="33"/>
      <c r="U146" s="33"/>
      <c r="V146" s="33"/>
      <c r="W146" s="3"/>
      <c r="X146" s="3"/>
      <c r="Y146" s="3"/>
      <c r="Z146" s="3"/>
    </row>
    <row r="147" spans="8:26" x14ac:dyDescent="0.3">
      <c r="H147" s="33"/>
      <c r="I147" s="33"/>
      <c r="J147" s="33"/>
      <c r="K147" s="33"/>
      <c r="L147" s="33"/>
      <c r="M147" s="33"/>
      <c r="N147" s="33"/>
      <c r="O147" s="33"/>
      <c r="P147" s="33"/>
      <c r="Q147" s="33"/>
      <c r="R147" s="33"/>
      <c r="S147" s="33"/>
      <c r="T147" s="33"/>
      <c r="U147" s="33"/>
      <c r="V147" s="33"/>
      <c r="W147" s="3"/>
      <c r="X147" s="3"/>
      <c r="Y147" s="3"/>
      <c r="Z147" s="3"/>
    </row>
    <row r="148" spans="8:26" x14ac:dyDescent="0.3">
      <c r="H148" s="33"/>
      <c r="I148" s="33"/>
      <c r="J148" s="33"/>
      <c r="K148" s="33"/>
      <c r="L148" s="33"/>
      <c r="M148" s="33"/>
      <c r="N148" s="33"/>
      <c r="O148" s="33"/>
      <c r="P148" s="33"/>
      <c r="Q148" s="33"/>
      <c r="R148" s="33"/>
      <c r="S148" s="33"/>
      <c r="T148" s="33"/>
      <c r="U148" s="33"/>
      <c r="V148" s="33"/>
      <c r="W148" s="3"/>
      <c r="X148" s="3"/>
      <c r="Y148" s="3"/>
      <c r="Z148" s="3"/>
    </row>
    <row r="149" spans="8:26" x14ac:dyDescent="0.3">
      <c r="H149" s="33"/>
      <c r="I149" s="33"/>
      <c r="J149" s="33"/>
      <c r="K149" s="33"/>
      <c r="L149" s="33"/>
      <c r="M149" s="33"/>
      <c r="N149" s="33"/>
      <c r="O149" s="33"/>
      <c r="P149" s="33"/>
      <c r="Q149" s="33"/>
      <c r="R149" s="33"/>
      <c r="S149" s="33"/>
      <c r="T149" s="33"/>
      <c r="U149" s="33"/>
      <c r="V149" s="33"/>
      <c r="W149" s="3"/>
      <c r="X149" s="3"/>
      <c r="Y149" s="3"/>
      <c r="Z149" s="3"/>
    </row>
    <row r="150" spans="8:26" x14ac:dyDescent="0.3">
      <c r="H150" s="33"/>
      <c r="I150" s="33"/>
      <c r="J150" s="33"/>
      <c r="K150" s="33"/>
      <c r="L150" s="33"/>
      <c r="M150" s="33"/>
      <c r="N150" s="33"/>
      <c r="O150" s="33"/>
      <c r="P150" s="33"/>
      <c r="Q150" s="33"/>
      <c r="R150" s="33"/>
      <c r="S150" s="33"/>
      <c r="T150" s="33"/>
      <c r="U150" s="33"/>
      <c r="V150" s="33"/>
      <c r="W150" s="3"/>
      <c r="X150" s="3"/>
      <c r="Y150" s="3"/>
      <c r="Z150" s="3"/>
    </row>
    <row r="151" spans="8:26" x14ac:dyDescent="0.3">
      <c r="H151" s="33"/>
      <c r="I151" s="33"/>
      <c r="J151" s="33"/>
      <c r="K151" s="33"/>
      <c r="L151" s="33"/>
      <c r="M151" s="33"/>
      <c r="N151" s="33"/>
      <c r="O151" s="33"/>
      <c r="P151" s="33"/>
      <c r="Q151" s="33"/>
      <c r="R151" s="33"/>
      <c r="S151" s="33"/>
      <c r="T151" s="33"/>
      <c r="U151" s="33"/>
      <c r="V151" s="33"/>
      <c r="W151" s="3"/>
      <c r="X151" s="3"/>
      <c r="Y151" s="3"/>
      <c r="Z151" s="3"/>
    </row>
    <row r="152" spans="8:26" x14ac:dyDescent="0.3">
      <c r="H152" s="33"/>
      <c r="I152" s="33"/>
      <c r="J152" s="33"/>
      <c r="K152" s="33"/>
      <c r="L152" s="33"/>
      <c r="M152" s="33"/>
      <c r="N152" s="33"/>
      <c r="O152" s="33"/>
      <c r="P152" s="33"/>
      <c r="Q152" s="33"/>
      <c r="R152" s="33"/>
      <c r="S152" s="33"/>
      <c r="T152" s="33"/>
      <c r="U152" s="33"/>
      <c r="V152" s="33"/>
      <c r="W152" s="3"/>
      <c r="X152" s="3"/>
      <c r="Y152" s="3"/>
      <c r="Z152" s="3"/>
    </row>
    <row r="153" spans="8:26" x14ac:dyDescent="0.3">
      <c r="H153" s="33"/>
      <c r="I153" s="33"/>
      <c r="J153" s="33"/>
      <c r="K153" s="33"/>
      <c r="L153" s="33"/>
      <c r="M153" s="33"/>
      <c r="N153" s="33"/>
      <c r="O153" s="33"/>
      <c r="P153" s="33"/>
      <c r="Q153" s="33"/>
      <c r="R153" s="33"/>
      <c r="S153" s="33"/>
      <c r="T153" s="33"/>
      <c r="U153" s="33"/>
      <c r="V153" s="33"/>
      <c r="W153" s="3"/>
      <c r="X153" s="3"/>
      <c r="Y153" s="3"/>
      <c r="Z153" s="3"/>
    </row>
    <row r="154" spans="8:26" x14ac:dyDescent="0.3">
      <c r="H154" s="33"/>
      <c r="I154" s="33"/>
      <c r="J154" s="33"/>
      <c r="K154" s="33"/>
      <c r="L154" s="33"/>
      <c r="M154" s="33"/>
      <c r="N154" s="33"/>
      <c r="O154" s="33"/>
      <c r="P154" s="33"/>
      <c r="Q154" s="33"/>
      <c r="R154" s="33"/>
      <c r="S154" s="33"/>
      <c r="T154" s="33"/>
      <c r="U154" s="33"/>
      <c r="V154" s="33"/>
      <c r="W154" s="3"/>
      <c r="X154" s="3"/>
      <c r="Y154" s="3"/>
      <c r="Z154" s="3"/>
    </row>
    <row r="155" spans="8:26" x14ac:dyDescent="0.3">
      <c r="H155" s="33"/>
      <c r="I155" s="33"/>
      <c r="J155" s="33"/>
      <c r="K155" s="33"/>
      <c r="L155" s="33"/>
      <c r="M155" s="33"/>
      <c r="N155" s="33"/>
      <c r="O155" s="33"/>
      <c r="P155" s="33"/>
      <c r="Q155" s="33"/>
      <c r="R155" s="33"/>
      <c r="S155" s="33"/>
      <c r="T155" s="33"/>
      <c r="U155" s="33"/>
      <c r="V155" s="33"/>
      <c r="W155" s="3"/>
      <c r="X155" s="3"/>
      <c r="Y155" s="3"/>
      <c r="Z155" s="3"/>
    </row>
    <row r="156" spans="8:26" x14ac:dyDescent="0.3">
      <c r="H156" s="33"/>
      <c r="I156" s="33"/>
      <c r="J156" s="33"/>
      <c r="K156" s="33"/>
      <c r="L156" s="33"/>
      <c r="M156" s="33"/>
      <c r="N156" s="33"/>
      <c r="O156" s="33"/>
      <c r="P156" s="33"/>
      <c r="Q156" s="33"/>
      <c r="R156" s="33"/>
      <c r="S156" s="33"/>
      <c r="T156" s="33"/>
      <c r="U156" s="33"/>
      <c r="V156" s="33"/>
      <c r="W156" s="3"/>
      <c r="X156" s="3"/>
      <c r="Y156" s="3"/>
      <c r="Z156" s="3"/>
    </row>
    <row r="157" spans="8:26" x14ac:dyDescent="0.3">
      <c r="H157" s="33"/>
      <c r="I157" s="33"/>
      <c r="J157" s="33"/>
      <c r="K157" s="33"/>
      <c r="L157" s="33"/>
      <c r="M157" s="33"/>
      <c r="N157" s="33"/>
      <c r="O157" s="33"/>
      <c r="P157" s="33"/>
      <c r="Q157" s="33"/>
      <c r="R157" s="33"/>
      <c r="S157" s="33"/>
      <c r="T157" s="33"/>
      <c r="U157" s="33"/>
      <c r="V157" s="33"/>
      <c r="W157" s="3"/>
      <c r="X157" s="3"/>
      <c r="Y157" s="3"/>
      <c r="Z157" s="3"/>
    </row>
    <row r="158" spans="8:26" x14ac:dyDescent="0.3">
      <c r="H158" s="33"/>
      <c r="I158" s="33"/>
      <c r="J158" s="33"/>
      <c r="K158" s="33"/>
      <c r="L158" s="33"/>
      <c r="M158" s="33"/>
      <c r="N158" s="33"/>
      <c r="O158" s="33"/>
      <c r="P158" s="33"/>
      <c r="Q158" s="33"/>
      <c r="R158" s="33"/>
      <c r="S158" s="33"/>
      <c r="T158" s="33"/>
      <c r="U158" s="33"/>
      <c r="V158" s="33"/>
      <c r="W158" s="3"/>
      <c r="X158" s="3"/>
      <c r="Y158" s="3"/>
      <c r="Z158" s="3"/>
    </row>
    <row r="159" spans="8:26" x14ac:dyDescent="0.3">
      <c r="H159" s="33"/>
      <c r="I159" s="33"/>
      <c r="J159" s="33"/>
      <c r="K159" s="33"/>
      <c r="L159" s="33"/>
      <c r="M159" s="33"/>
      <c r="N159" s="33"/>
      <c r="O159" s="33"/>
      <c r="P159" s="33"/>
      <c r="Q159" s="33"/>
      <c r="R159" s="33"/>
      <c r="S159" s="33"/>
      <c r="T159" s="33"/>
      <c r="U159" s="33"/>
      <c r="V159" s="33"/>
      <c r="W159" s="3"/>
      <c r="X159" s="3"/>
      <c r="Y159" s="3"/>
      <c r="Z159" s="3"/>
    </row>
    <row r="160" spans="8:26" x14ac:dyDescent="0.3">
      <c r="H160" s="33"/>
      <c r="I160" s="33"/>
      <c r="J160" s="33"/>
      <c r="K160" s="33"/>
      <c r="L160" s="33"/>
      <c r="M160" s="33"/>
      <c r="N160" s="33"/>
      <c r="O160" s="33"/>
      <c r="P160" s="33"/>
      <c r="Q160" s="33"/>
      <c r="R160" s="33"/>
      <c r="S160" s="33"/>
      <c r="T160" s="33"/>
      <c r="U160" s="33"/>
      <c r="V160" s="33"/>
      <c r="W160" s="3"/>
      <c r="X160" s="3"/>
      <c r="Y160" s="3"/>
      <c r="Z160" s="3"/>
    </row>
    <row r="161" spans="8:26" x14ac:dyDescent="0.3">
      <c r="H161" s="33"/>
      <c r="I161" s="33"/>
      <c r="J161" s="33"/>
      <c r="K161" s="33"/>
      <c r="L161" s="33"/>
      <c r="M161" s="33"/>
      <c r="N161" s="33"/>
      <c r="O161" s="33"/>
      <c r="P161" s="33"/>
      <c r="Q161" s="33"/>
      <c r="R161" s="33"/>
      <c r="S161" s="33"/>
      <c r="T161" s="33"/>
      <c r="U161" s="33"/>
      <c r="V161" s="33"/>
      <c r="W161" s="3"/>
      <c r="X161" s="3"/>
      <c r="Y161" s="3"/>
      <c r="Z161" s="3"/>
    </row>
    <row r="162" spans="8:26" x14ac:dyDescent="0.3">
      <c r="H162" s="33"/>
      <c r="I162" s="33"/>
      <c r="J162" s="33"/>
      <c r="K162" s="33"/>
      <c r="L162" s="33"/>
      <c r="M162" s="33"/>
      <c r="N162" s="33"/>
      <c r="O162" s="33"/>
      <c r="P162" s="33"/>
      <c r="Q162" s="33"/>
      <c r="R162" s="33"/>
      <c r="S162" s="33"/>
      <c r="T162" s="33"/>
      <c r="U162" s="33"/>
      <c r="V162" s="33"/>
      <c r="W162" s="3"/>
      <c r="X162" s="3"/>
      <c r="Y162" s="3"/>
      <c r="Z162" s="3"/>
    </row>
    <row r="163" spans="8:26" x14ac:dyDescent="0.3">
      <c r="H163" s="33"/>
      <c r="I163" s="33"/>
      <c r="J163" s="33"/>
      <c r="K163" s="33"/>
      <c r="L163" s="33"/>
      <c r="M163" s="33"/>
      <c r="N163" s="33"/>
      <c r="O163" s="33"/>
      <c r="P163" s="33"/>
      <c r="Q163" s="33"/>
      <c r="R163" s="33"/>
      <c r="S163" s="33"/>
      <c r="T163" s="33"/>
      <c r="U163" s="33"/>
      <c r="V163" s="33"/>
      <c r="W163" s="3"/>
      <c r="X163" s="3"/>
      <c r="Y163" s="3"/>
      <c r="Z163" s="3"/>
    </row>
    <row r="164" spans="8:26" x14ac:dyDescent="0.3">
      <c r="H164" s="33"/>
      <c r="I164" s="33"/>
      <c r="J164" s="33"/>
      <c r="K164" s="33"/>
      <c r="L164" s="33"/>
      <c r="M164" s="33"/>
      <c r="N164" s="33"/>
      <c r="O164" s="33"/>
      <c r="P164" s="33"/>
      <c r="Q164" s="33"/>
      <c r="R164" s="33"/>
      <c r="S164" s="33"/>
      <c r="T164" s="33"/>
      <c r="U164" s="33"/>
      <c r="V164" s="33"/>
      <c r="W164" s="3"/>
      <c r="X164" s="3"/>
      <c r="Y164" s="3"/>
      <c r="Z164" s="3"/>
    </row>
    <row r="165" spans="8:26" x14ac:dyDescent="0.3">
      <c r="H165" s="33"/>
      <c r="I165" s="33"/>
      <c r="J165" s="33"/>
      <c r="K165" s="33"/>
      <c r="L165" s="33"/>
      <c r="M165" s="33"/>
      <c r="N165" s="33"/>
      <c r="O165" s="33"/>
      <c r="P165" s="33"/>
      <c r="Q165" s="33"/>
      <c r="R165" s="33"/>
      <c r="S165" s="33"/>
      <c r="T165" s="33"/>
      <c r="U165" s="33"/>
      <c r="V165" s="33"/>
      <c r="W165" s="3"/>
      <c r="X165" s="3"/>
      <c r="Y165" s="3"/>
      <c r="Z165" s="3"/>
    </row>
    <row r="166" spans="8:26" x14ac:dyDescent="0.3">
      <c r="H166" s="33"/>
      <c r="I166" s="33"/>
      <c r="J166" s="33"/>
      <c r="K166" s="33"/>
      <c r="L166" s="33"/>
      <c r="M166" s="33"/>
      <c r="N166" s="33"/>
      <c r="O166" s="33"/>
      <c r="P166" s="33"/>
      <c r="Q166" s="33"/>
      <c r="R166" s="33"/>
      <c r="S166" s="33"/>
      <c r="T166" s="33"/>
      <c r="U166" s="33"/>
      <c r="V166" s="33"/>
      <c r="W166" s="3"/>
      <c r="X166" s="3"/>
      <c r="Y166" s="3"/>
      <c r="Z166" s="3"/>
    </row>
    <row r="167" spans="8:26" x14ac:dyDescent="0.3">
      <c r="H167" s="33"/>
      <c r="I167" s="33"/>
      <c r="J167" s="33"/>
      <c r="K167" s="33"/>
      <c r="L167" s="33"/>
      <c r="M167" s="33"/>
      <c r="N167" s="33"/>
      <c r="O167" s="33"/>
      <c r="P167" s="33"/>
      <c r="Q167" s="33"/>
      <c r="R167" s="33"/>
      <c r="S167" s="33"/>
      <c r="T167" s="33"/>
      <c r="U167" s="33"/>
      <c r="V167" s="33"/>
      <c r="W167" s="3"/>
      <c r="X167" s="3"/>
      <c r="Y167" s="3"/>
      <c r="Z167" s="3"/>
    </row>
    <row r="168" spans="8:26" x14ac:dyDescent="0.3">
      <c r="H168" s="33"/>
      <c r="I168" s="33"/>
      <c r="J168" s="33"/>
      <c r="K168" s="33"/>
      <c r="L168" s="33"/>
      <c r="M168" s="33"/>
      <c r="N168" s="33"/>
      <c r="O168" s="33"/>
      <c r="P168" s="33"/>
      <c r="Q168" s="33"/>
      <c r="R168" s="33"/>
      <c r="S168" s="33"/>
      <c r="T168" s="33"/>
      <c r="U168" s="33"/>
      <c r="V168" s="33"/>
      <c r="W168" s="3"/>
      <c r="X168" s="3"/>
      <c r="Y168" s="3"/>
      <c r="Z168" s="3"/>
    </row>
    <row r="169" spans="8:26" x14ac:dyDescent="0.3">
      <c r="H169" s="33"/>
      <c r="I169" s="33"/>
      <c r="J169" s="33"/>
      <c r="K169" s="33"/>
      <c r="L169" s="33"/>
      <c r="M169" s="33"/>
      <c r="N169" s="33"/>
      <c r="O169" s="33"/>
      <c r="P169" s="33"/>
      <c r="Q169" s="33"/>
      <c r="R169" s="33"/>
      <c r="S169" s="33"/>
      <c r="T169" s="33"/>
      <c r="U169" s="33"/>
      <c r="V169" s="33"/>
      <c r="W169" s="3"/>
      <c r="X169" s="3"/>
      <c r="Y169" s="3"/>
      <c r="Z169" s="3"/>
    </row>
    <row r="170" spans="8:26" x14ac:dyDescent="0.3">
      <c r="H170" s="33"/>
      <c r="I170" s="33"/>
      <c r="J170" s="33"/>
      <c r="K170" s="33"/>
      <c r="L170" s="33"/>
      <c r="M170" s="33"/>
      <c r="N170" s="33"/>
      <c r="O170" s="33"/>
      <c r="P170" s="33"/>
      <c r="Q170" s="33"/>
      <c r="R170" s="33"/>
      <c r="S170" s="33"/>
      <c r="T170" s="33"/>
      <c r="U170" s="33"/>
      <c r="V170" s="33"/>
      <c r="W170" s="3"/>
      <c r="X170" s="3"/>
      <c r="Y170" s="3"/>
      <c r="Z170" s="3"/>
    </row>
    <row r="171" spans="8:26" x14ac:dyDescent="0.3">
      <c r="H171" s="33"/>
      <c r="I171" s="33"/>
      <c r="J171" s="33"/>
      <c r="K171" s="33"/>
      <c r="L171" s="33"/>
      <c r="M171" s="33"/>
      <c r="N171" s="33"/>
      <c r="O171" s="33"/>
      <c r="P171" s="33"/>
      <c r="Q171" s="33"/>
      <c r="R171" s="33"/>
      <c r="S171" s="33"/>
      <c r="T171" s="33"/>
      <c r="U171" s="33"/>
      <c r="V171" s="33"/>
      <c r="W171" s="3"/>
      <c r="X171" s="3"/>
      <c r="Y171" s="3"/>
      <c r="Z171" s="3"/>
    </row>
    <row r="172" spans="8:26" x14ac:dyDescent="0.3">
      <c r="H172" s="33"/>
      <c r="I172" s="33"/>
      <c r="J172" s="33"/>
      <c r="K172" s="33"/>
      <c r="L172" s="33"/>
      <c r="M172" s="33"/>
      <c r="N172" s="33"/>
      <c r="O172" s="33"/>
      <c r="P172" s="33"/>
      <c r="Q172" s="33"/>
      <c r="R172" s="33"/>
      <c r="S172" s="33"/>
      <c r="T172" s="33"/>
      <c r="U172" s="33"/>
      <c r="V172" s="33"/>
      <c r="W172" s="3"/>
      <c r="X172" s="3"/>
      <c r="Y172" s="3"/>
      <c r="Z172" s="3"/>
    </row>
    <row r="173" spans="8:26" x14ac:dyDescent="0.3">
      <c r="H173" s="33"/>
      <c r="I173" s="33"/>
      <c r="J173" s="33"/>
      <c r="K173" s="33"/>
      <c r="L173" s="33"/>
      <c r="M173" s="33"/>
      <c r="N173" s="33"/>
      <c r="O173" s="33"/>
      <c r="P173" s="33"/>
      <c r="Q173" s="33"/>
      <c r="R173" s="33"/>
      <c r="S173" s="33"/>
      <c r="T173" s="33"/>
      <c r="U173" s="33"/>
      <c r="V173" s="33"/>
      <c r="W173" s="3"/>
      <c r="X173" s="3"/>
      <c r="Y173" s="3"/>
      <c r="Z173" s="3"/>
    </row>
    <row r="174" spans="8:26" x14ac:dyDescent="0.3">
      <c r="H174" s="33"/>
      <c r="I174" s="33"/>
      <c r="J174" s="33"/>
      <c r="K174" s="33"/>
      <c r="L174" s="33"/>
      <c r="M174" s="33"/>
      <c r="N174" s="33"/>
      <c r="O174" s="33"/>
      <c r="P174" s="33"/>
      <c r="Q174" s="33"/>
      <c r="R174" s="33"/>
      <c r="S174" s="33"/>
      <c r="T174" s="33"/>
      <c r="U174" s="33"/>
      <c r="V174" s="33"/>
      <c r="W174" s="3"/>
      <c r="X174" s="3"/>
      <c r="Y174" s="3"/>
      <c r="Z174" s="3"/>
    </row>
    <row r="175" spans="8:26" x14ac:dyDescent="0.3">
      <c r="H175" s="33"/>
      <c r="I175" s="33"/>
      <c r="J175" s="33"/>
      <c r="K175" s="33"/>
      <c r="L175" s="33"/>
      <c r="M175" s="33"/>
      <c r="N175" s="33"/>
      <c r="O175" s="33"/>
      <c r="P175" s="33"/>
      <c r="Q175" s="33"/>
      <c r="R175" s="33"/>
      <c r="S175" s="33"/>
      <c r="T175" s="33"/>
      <c r="U175" s="33"/>
      <c r="V175" s="33"/>
      <c r="W175" s="3"/>
      <c r="X175" s="3"/>
      <c r="Y175" s="3"/>
      <c r="Z175" s="3"/>
    </row>
    <row r="176" spans="8:26" x14ac:dyDescent="0.3">
      <c r="H176" s="33"/>
      <c r="I176" s="33"/>
      <c r="J176" s="33"/>
      <c r="K176" s="33"/>
      <c r="L176" s="33"/>
      <c r="M176" s="33"/>
      <c r="N176" s="33"/>
      <c r="O176" s="33"/>
      <c r="P176" s="33"/>
      <c r="Q176" s="33"/>
      <c r="R176" s="33"/>
      <c r="S176" s="33"/>
      <c r="T176" s="33"/>
      <c r="U176" s="33"/>
      <c r="V176" s="33"/>
      <c r="W176" s="3"/>
      <c r="X176" s="3"/>
      <c r="Y176" s="3"/>
      <c r="Z176" s="3"/>
    </row>
    <row r="177" spans="8:26" x14ac:dyDescent="0.3">
      <c r="H177" s="33"/>
      <c r="I177" s="33"/>
      <c r="J177" s="33"/>
      <c r="K177" s="33"/>
      <c r="L177" s="33"/>
      <c r="M177" s="33"/>
      <c r="N177" s="33"/>
      <c r="O177" s="33"/>
      <c r="P177" s="33"/>
      <c r="Q177" s="33"/>
      <c r="R177" s="33"/>
      <c r="S177" s="33"/>
      <c r="T177" s="33"/>
      <c r="U177" s="33"/>
      <c r="V177" s="33"/>
      <c r="W177" s="3"/>
      <c r="X177" s="3"/>
      <c r="Y177" s="3"/>
      <c r="Z177" s="3"/>
    </row>
    <row r="178" spans="8:26" x14ac:dyDescent="0.3">
      <c r="H178" s="33"/>
      <c r="I178" s="33"/>
      <c r="J178" s="33"/>
      <c r="K178" s="33"/>
      <c r="L178" s="33"/>
      <c r="M178" s="33"/>
      <c r="N178" s="33"/>
      <c r="O178" s="33"/>
      <c r="P178" s="33"/>
      <c r="Q178" s="33"/>
      <c r="R178" s="33"/>
      <c r="S178" s="33"/>
      <c r="T178" s="33"/>
      <c r="U178" s="33"/>
      <c r="V178" s="33"/>
      <c r="W178" s="3"/>
      <c r="X178" s="3"/>
      <c r="Y178" s="3"/>
      <c r="Z178" s="3"/>
    </row>
    <row r="179" spans="8:26" x14ac:dyDescent="0.3">
      <c r="H179" s="33"/>
      <c r="I179" s="33"/>
      <c r="J179" s="33"/>
      <c r="K179" s="33"/>
      <c r="L179" s="33"/>
      <c r="M179" s="33"/>
      <c r="N179" s="33"/>
      <c r="O179" s="33"/>
      <c r="P179" s="33"/>
      <c r="Q179" s="33"/>
      <c r="R179" s="33"/>
      <c r="S179" s="33"/>
      <c r="T179" s="33"/>
      <c r="U179" s="33"/>
      <c r="V179" s="33"/>
      <c r="W179" s="3"/>
      <c r="X179" s="3"/>
      <c r="Y179" s="3"/>
      <c r="Z179" s="3"/>
    </row>
    <row r="180" spans="8:26" x14ac:dyDescent="0.3">
      <c r="H180" s="33"/>
      <c r="I180" s="33"/>
      <c r="J180" s="33"/>
      <c r="K180" s="33"/>
      <c r="L180" s="33"/>
      <c r="M180" s="33"/>
      <c r="N180" s="33"/>
      <c r="O180" s="33"/>
      <c r="P180" s="33"/>
      <c r="Q180" s="33"/>
      <c r="R180" s="33"/>
      <c r="S180" s="33"/>
      <c r="T180" s="33"/>
      <c r="U180" s="33"/>
      <c r="V180" s="33"/>
      <c r="W180" s="3"/>
      <c r="X180" s="3"/>
      <c r="Y180" s="3"/>
      <c r="Z180" s="3"/>
    </row>
    <row r="181" spans="8:26" x14ac:dyDescent="0.3">
      <c r="H181" s="33"/>
      <c r="I181" s="33"/>
      <c r="J181" s="33"/>
      <c r="K181" s="33"/>
      <c r="L181" s="33"/>
      <c r="M181" s="33"/>
      <c r="N181" s="33"/>
      <c r="O181" s="33"/>
      <c r="P181" s="33"/>
      <c r="Q181" s="33"/>
      <c r="R181" s="33"/>
      <c r="S181" s="33"/>
      <c r="T181" s="33"/>
      <c r="U181" s="33"/>
      <c r="V181" s="33"/>
      <c r="W181" s="3"/>
      <c r="X181" s="3"/>
      <c r="Y181" s="3"/>
      <c r="Z181" s="3"/>
    </row>
    <row r="182" spans="8:26" x14ac:dyDescent="0.3">
      <c r="H182" s="33"/>
      <c r="I182" s="33"/>
      <c r="J182" s="33"/>
      <c r="K182" s="33"/>
      <c r="L182" s="33"/>
      <c r="M182" s="33"/>
      <c r="N182" s="33"/>
      <c r="O182" s="33"/>
      <c r="P182" s="33"/>
      <c r="Q182" s="33"/>
      <c r="R182" s="33"/>
      <c r="S182" s="33"/>
      <c r="T182" s="33"/>
      <c r="U182" s="33"/>
      <c r="V182" s="33"/>
      <c r="W182" s="3"/>
      <c r="X182" s="3"/>
      <c r="Y182" s="3"/>
      <c r="Z182" s="3"/>
    </row>
    <row r="183" spans="8:26" x14ac:dyDescent="0.3">
      <c r="H183" s="33"/>
      <c r="I183" s="33"/>
      <c r="J183" s="33"/>
      <c r="K183" s="33"/>
      <c r="L183" s="33"/>
      <c r="M183" s="33"/>
      <c r="N183" s="33"/>
      <c r="O183" s="33"/>
      <c r="P183" s="33"/>
      <c r="Q183" s="33"/>
      <c r="R183" s="33"/>
      <c r="S183" s="33"/>
      <c r="T183" s="33"/>
      <c r="U183" s="33"/>
      <c r="V183" s="33"/>
      <c r="W183" s="3"/>
      <c r="X183" s="3"/>
      <c r="Y183" s="3"/>
      <c r="Z183" s="3"/>
    </row>
    <row r="184" spans="8:26" x14ac:dyDescent="0.3">
      <c r="H184" s="33"/>
      <c r="I184" s="33"/>
      <c r="J184" s="33"/>
      <c r="K184" s="33"/>
      <c r="L184" s="33"/>
      <c r="M184" s="33"/>
      <c r="N184" s="33"/>
      <c r="O184" s="33"/>
      <c r="P184" s="33"/>
      <c r="Q184" s="33"/>
      <c r="R184" s="33"/>
      <c r="S184" s="33"/>
      <c r="T184" s="33"/>
      <c r="U184" s="33"/>
      <c r="V184" s="33"/>
      <c r="W184" s="3"/>
      <c r="X184" s="3"/>
      <c r="Y184" s="3"/>
      <c r="Z184" s="3"/>
    </row>
    <row r="185" spans="8:26" x14ac:dyDescent="0.3">
      <c r="H185" s="33"/>
      <c r="I185" s="33"/>
      <c r="J185" s="33"/>
      <c r="K185" s="33"/>
      <c r="L185" s="33"/>
      <c r="M185" s="33"/>
      <c r="N185" s="33"/>
      <c r="O185" s="33"/>
      <c r="P185" s="33"/>
      <c r="Q185" s="33"/>
      <c r="R185" s="33"/>
      <c r="S185" s="33"/>
      <c r="T185" s="33"/>
      <c r="U185" s="33"/>
      <c r="V185" s="33"/>
      <c r="W185" s="3"/>
      <c r="X185" s="3"/>
      <c r="Y185" s="3"/>
      <c r="Z185" s="3"/>
    </row>
    <row r="186" spans="8:26" x14ac:dyDescent="0.3">
      <c r="H186" s="33"/>
      <c r="I186" s="33"/>
      <c r="J186" s="33"/>
      <c r="K186" s="33"/>
      <c r="L186" s="33"/>
      <c r="M186" s="33"/>
      <c r="N186" s="33"/>
      <c r="O186" s="33"/>
      <c r="P186" s="33"/>
      <c r="Q186" s="33"/>
      <c r="R186" s="33"/>
      <c r="S186" s="33"/>
      <c r="T186" s="33"/>
      <c r="U186" s="33"/>
      <c r="V186" s="33"/>
      <c r="W186" s="3"/>
      <c r="X186" s="3"/>
      <c r="Y186" s="3"/>
      <c r="Z186" s="3"/>
    </row>
    <row r="187" spans="8:26" x14ac:dyDescent="0.3">
      <c r="H187" s="33"/>
      <c r="I187" s="33"/>
      <c r="J187" s="33"/>
      <c r="K187" s="33"/>
      <c r="L187" s="33"/>
      <c r="M187" s="33"/>
      <c r="N187" s="33"/>
      <c r="O187" s="33"/>
      <c r="P187" s="33"/>
      <c r="Q187" s="33"/>
      <c r="R187" s="33"/>
      <c r="S187" s="33"/>
      <c r="T187" s="33"/>
      <c r="U187" s="33"/>
      <c r="V187" s="33"/>
      <c r="W187" s="3"/>
      <c r="X187" s="3"/>
      <c r="Y187" s="3"/>
      <c r="Z187" s="3"/>
    </row>
    <row r="188" spans="8:26" x14ac:dyDescent="0.3">
      <c r="H188" s="33"/>
      <c r="I188" s="33"/>
      <c r="J188" s="33"/>
      <c r="K188" s="33"/>
      <c r="L188" s="33"/>
      <c r="M188" s="33"/>
      <c r="N188" s="33"/>
      <c r="O188" s="33"/>
      <c r="P188" s="33"/>
      <c r="Q188" s="33"/>
      <c r="R188" s="33"/>
      <c r="S188" s="33"/>
      <c r="T188" s="33"/>
      <c r="U188" s="33"/>
      <c r="V188" s="33"/>
      <c r="W188" s="3"/>
      <c r="X188" s="3"/>
      <c r="Y188" s="3"/>
      <c r="Z188" s="3"/>
    </row>
    <row r="189" spans="8:26" x14ac:dyDescent="0.3">
      <c r="H189" s="33"/>
      <c r="I189" s="33"/>
      <c r="J189" s="33"/>
      <c r="K189" s="33"/>
      <c r="L189" s="33"/>
      <c r="M189" s="33"/>
      <c r="N189" s="33"/>
      <c r="O189" s="33"/>
      <c r="P189" s="33"/>
      <c r="Q189" s="33"/>
      <c r="R189" s="33"/>
      <c r="S189" s="33"/>
      <c r="T189" s="33"/>
      <c r="U189" s="33"/>
      <c r="V189" s="33"/>
      <c r="W189" s="3"/>
      <c r="X189" s="3"/>
      <c r="Y189" s="3"/>
      <c r="Z189" s="3"/>
    </row>
    <row r="190" spans="8:26" x14ac:dyDescent="0.3">
      <c r="H190" s="33"/>
      <c r="I190" s="33"/>
      <c r="J190" s="33"/>
      <c r="K190" s="33"/>
      <c r="L190" s="33"/>
      <c r="M190" s="33"/>
      <c r="N190" s="33"/>
      <c r="O190" s="33"/>
      <c r="P190" s="33"/>
      <c r="Q190" s="33"/>
      <c r="R190" s="33"/>
      <c r="S190" s="33"/>
      <c r="T190" s="33"/>
      <c r="U190" s="33"/>
      <c r="V190" s="33"/>
      <c r="W190" s="3"/>
      <c r="X190" s="3"/>
      <c r="Y190" s="3"/>
      <c r="Z190" s="3"/>
    </row>
    <row r="191" spans="8:26" x14ac:dyDescent="0.3">
      <c r="H191" s="33"/>
      <c r="I191" s="33"/>
      <c r="J191" s="33"/>
      <c r="K191" s="33"/>
      <c r="L191" s="33"/>
      <c r="M191" s="33"/>
      <c r="N191" s="33"/>
      <c r="O191" s="33"/>
      <c r="P191" s="33"/>
      <c r="Q191" s="33"/>
      <c r="R191" s="33"/>
      <c r="S191" s="33"/>
      <c r="T191" s="33"/>
      <c r="U191" s="33"/>
      <c r="V191" s="33"/>
      <c r="W191" s="3"/>
      <c r="X191" s="3"/>
      <c r="Y191" s="3"/>
      <c r="Z191" s="3"/>
    </row>
    <row r="192" spans="8:26" x14ac:dyDescent="0.3">
      <c r="H192" s="33"/>
      <c r="I192" s="33"/>
      <c r="J192" s="33"/>
      <c r="K192" s="33"/>
      <c r="L192" s="33"/>
      <c r="M192" s="33"/>
      <c r="N192" s="33"/>
      <c r="O192" s="33"/>
      <c r="P192" s="33"/>
      <c r="Q192" s="33"/>
      <c r="R192" s="33"/>
      <c r="S192" s="33"/>
      <c r="T192" s="33"/>
      <c r="U192" s="33"/>
      <c r="V192" s="33"/>
      <c r="W192" s="3"/>
      <c r="X192" s="3"/>
      <c r="Y192" s="3"/>
      <c r="Z192" s="3"/>
    </row>
    <row r="193" spans="8:26" x14ac:dyDescent="0.3">
      <c r="H193" s="33"/>
      <c r="I193" s="33"/>
      <c r="J193" s="33"/>
      <c r="K193" s="33"/>
      <c r="L193" s="33"/>
      <c r="M193" s="33"/>
      <c r="N193" s="33"/>
      <c r="O193" s="33"/>
      <c r="P193" s="33"/>
      <c r="Q193" s="33"/>
      <c r="R193" s="33"/>
      <c r="S193" s="33"/>
      <c r="T193" s="33"/>
      <c r="U193" s="33"/>
      <c r="V193" s="33"/>
      <c r="W193" s="3"/>
      <c r="X193" s="3"/>
      <c r="Y193" s="3"/>
      <c r="Z193" s="3"/>
    </row>
    <row r="194" spans="8:26" x14ac:dyDescent="0.3">
      <c r="H194" s="33"/>
      <c r="I194" s="33"/>
      <c r="J194" s="33"/>
      <c r="K194" s="33"/>
      <c r="L194" s="33"/>
      <c r="M194" s="33"/>
      <c r="N194" s="33"/>
      <c r="O194" s="33"/>
      <c r="P194" s="33"/>
      <c r="Q194" s="33"/>
      <c r="R194" s="33"/>
      <c r="S194" s="33"/>
      <c r="T194" s="33"/>
      <c r="U194" s="33"/>
      <c r="V194" s="33"/>
      <c r="W194" s="3"/>
      <c r="X194" s="3"/>
      <c r="Y194" s="3"/>
      <c r="Z194" s="3"/>
    </row>
    <row r="195" spans="8:26" x14ac:dyDescent="0.3">
      <c r="H195" s="33"/>
      <c r="I195" s="33"/>
      <c r="J195" s="33"/>
      <c r="K195" s="33"/>
      <c r="L195" s="33"/>
      <c r="M195" s="33"/>
      <c r="N195" s="33"/>
      <c r="O195" s="33"/>
      <c r="P195" s="33"/>
      <c r="Q195" s="33"/>
      <c r="R195" s="33"/>
      <c r="S195" s="33"/>
      <c r="T195" s="33"/>
      <c r="U195" s="33"/>
      <c r="V195" s="33"/>
      <c r="W195" s="3"/>
      <c r="X195" s="3"/>
      <c r="Y195" s="3"/>
      <c r="Z195" s="3"/>
    </row>
    <row r="196" spans="8:26" x14ac:dyDescent="0.3">
      <c r="H196" s="33"/>
      <c r="I196" s="33"/>
      <c r="J196" s="33"/>
      <c r="K196" s="33"/>
      <c r="L196" s="33"/>
      <c r="M196" s="33"/>
      <c r="N196" s="33"/>
      <c r="O196" s="33"/>
      <c r="P196" s="33"/>
      <c r="Q196" s="33"/>
      <c r="R196" s="33"/>
      <c r="S196" s="33"/>
      <c r="T196" s="33"/>
      <c r="U196" s="33"/>
      <c r="V196" s="33"/>
      <c r="W196" s="3"/>
      <c r="X196" s="3"/>
      <c r="Y196" s="3"/>
      <c r="Z196" s="3"/>
    </row>
    <row r="197" spans="8:26" x14ac:dyDescent="0.3">
      <c r="H197" s="33"/>
      <c r="I197" s="33"/>
      <c r="J197" s="33"/>
      <c r="K197" s="33"/>
      <c r="L197" s="33"/>
      <c r="M197" s="33"/>
      <c r="N197" s="33"/>
      <c r="O197" s="33"/>
      <c r="P197" s="33"/>
      <c r="Q197" s="33"/>
      <c r="R197" s="33"/>
      <c r="S197" s="33"/>
      <c r="T197" s="33"/>
      <c r="U197" s="33"/>
      <c r="V197" s="33"/>
      <c r="W197" s="3"/>
      <c r="X197" s="3"/>
      <c r="Y197" s="3"/>
      <c r="Z197" s="3"/>
    </row>
    <row r="198" spans="8:26" x14ac:dyDescent="0.3">
      <c r="H198" s="33"/>
      <c r="I198" s="33"/>
      <c r="J198" s="33"/>
      <c r="K198" s="33"/>
      <c r="L198" s="33"/>
      <c r="M198" s="33"/>
      <c r="N198" s="33"/>
      <c r="O198" s="33"/>
      <c r="P198" s="33"/>
      <c r="Q198" s="33"/>
      <c r="R198" s="33"/>
      <c r="S198" s="33"/>
      <c r="T198" s="33"/>
      <c r="U198" s="33"/>
      <c r="V198" s="33"/>
      <c r="W198" s="3"/>
      <c r="X198" s="3"/>
      <c r="Y198" s="3"/>
      <c r="Z198" s="3"/>
    </row>
    <row r="199" spans="8:26" x14ac:dyDescent="0.3">
      <c r="H199" s="33"/>
      <c r="I199" s="33"/>
      <c r="J199" s="33"/>
      <c r="K199" s="33"/>
      <c r="L199" s="33"/>
      <c r="M199" s="33"/>
      <c r="N199" s="33"/>
      <c r="O199" s="33"/>
      <c r="P199" s="33"/>
      <c r="Q199" s="33"/>
      <c r="R199" s="33"/>
      <c r="S199" s="33"/>
      <c r="T199" s="33"/>
      <c r="U199" s="33"/>
      <c r="V199" s="33"/>
      <c r="W199" s="3"/>
      <c r="X199" s="3"/>
      <c r="Y199" s="3"/>
      <c r="Z199" s="3"/>
    </row>
    <row r="200" spans="8:26" x14ac:dyDescent="0.3">
      <c r="H200" s="33"/>
      <c r="I200" s="33"/>
      <c r="J200" s="33"/>
      <c r="K200" s="33"/>
      <c r="L200" s="33"/>
      <c r="M200" s="33"/>
      <c r="N200" s="33"/>
      <c r="O200" s="33"/>
      <c r="P200" s="33"/>
      <c r="Q200" s="33"/>
      <c r="R200" s="33"/>
      <c r="S200" s="33"/>
      <c r="T200" s="33"/>
      <c r="U200" s="33"/>
      <c r="V200" s="33"/>
      <c r="W200" s="3"/>
      <c r="X200" s="3"/>
      <c r="Y200" s="3"/>
      <c r="Z200" s="3"/>
    </row>
    <row r="201" spans="8:26" x14ac:dyDescent="0.3">
      <c r="H201" s="33"/>
      <c r="I201" s="33"/>
      <c r="J201" s="33"/>
      <c r="K201" s="33"/>
      <c r="L201" s="33"/>
      <c r="M201" s="33"/>
      <c r="N201" s="33"/>
      <c r="O201" s="33"/>
      <c r="P201" s="33"/>
      <c r="Q201" s="33"/>
      <c r="R201" s="33"/>
      <c r="S201" s="33"/>
      <c r="T201" s="33"/>
      <c r="U201" s="33"/>
      <c r="V201" s="33"/>
      <c r="W201" s="3"/>
      <c r="X201" s="3"/>
      <c r="Y201" s="3"/>
      <c r="Z201" s="3"/>
    </row>
    <row r="202" spans="8:26" x14ac:dyDescent="0.3">
      <c r="H202" s="33"/>
      <c r="I202" s="33"/>
      <c r="J202" s="33"/>
      <c r="K202" s="33"/>
      <c r="L202" s="33"/>
      <c r="M202" s="33"/>
      <c r="N202" s="33"/>
      <c r="O202" s="33"/>
      <c r="P202" s="33"/>
      <c r="Q202" s="33"/>
      <c r="R202" s="33"/>
      <c r="S202" s="33"/>
      <c r="T202" s="33"/>
      <c r="U202" s="33"/>
      <c r="V202" s="33"/>
      <c r="W202" s="3"/>
      <c r="X202" s="3"/>
      <c r="Y202" s="3"/>
      <c r="Z202" s="3"/>
    </row>
    <row r="203" spans="8:26" x14ac:dyDescent="0.3">
      <c r="H203" s="33"/>
      <c r="I203" s="33"/>
      <c r="J203" s="33"/>
      <c r="K203" s="33"/>
      <c r="L203" s="33"/>
      <c r="M203" s="33"/>
      <c r="N203" s="33"/>
      <c r="O203" s="33"/>
      <c r="P203" s="33"/>
      <c r="Q203" s="33"/>
      <c r="R203" s="33"/>
      <c r="S203" s="33"/>
      <c r="T203" s="33"/>
      <c r="U203" s="33"/>
      <c r="V203" s="33"/>
      <c r="W203" s="3"/>
      <c r="X203" s="3"/>
      <c r="Y203" s="3"/>
      <c r="Z203" s="3"/>
    </row>
    <row r="204" spans="8:26" x14ac:dyDescent="0.3">
      <c r="H204" s="33"/>
      <c r="I204" s="33"/>
      <c r="J204" s="33"/>
      <c r="K204" s="33"/>
      <c r="L204" s="33"/>
      <c r="M204" s="33"/>
      <c r="N204" s="33"/>
      <c r="O204" s="33"/>
      <c r="P204" s="33"/>
      <c r="Q204" s="33"/>
      <c r="R204" s="33"/>
      <c r="S204" s="33"/>
      <c r="T204" s="33"/>
      <c r="U204" s="33"/>
      <c r="V204" s="33"/>
      <c r="W204" s="3"/>
      <c r="X204" s="3"/>
      <c r="Y204" s="3"/>
      <c r="Z204" s="3"/>
    </row>
    <row r="205" spans="8:26" x14ac:dyDescent="0.3">
      <c r="H205" s="33"/>
      <c r="I205" s="33"/>
      <c r="J205" s="33"/>
      <c r="K205" s="33"/>
      <c r="L205" s="33"/>
      <c r="M205" s="33"/>
      <c r="N205" s="33"/>
      <c r="O205" s="33"/>
      <c r="P205" s="33"/>
      <c r="Q205" s="33"/>
      <c r="R205" s="33"/>
      <c r="S205" s="33"/>
      <c r="T205" s="33"/>
      <c r="U205" s="33"/>
      <c r="V205" s="33"/>
      <c r="W205" s="3"/>
      <c r="X205" s="3"/>
      <c r="Y205" s="3"/>
      <c r="Z205" s="3"/>
    </row>
    <row r="206" spans="8:26" x14ac:dyDescent="0.3">
      <c r="H206" s="33"/>
      <c r="I206" s="33"/>
      <c r="J206" s="33"/>
      <c r="K206" s="33"/>
      <c r="L206" s="33"/>
      <c r="M206" s="33"/>
      <c r="N206" s="33"/>
      <c r="O206" s="33"/>
      <c r="P206" s="33"/>
      <c r="Q206" s="33"/>
      <c r="R206" s="33"/>
      <c r="S206" s="33"/>
      <c r="T206" s="33"/>
      <c r="U206" s="33"/>
      <c r="V206" s="33"/>
      <c r="W206" s="3"/>
      <c r="X206" s="3"/>
      <c r="Y206" s="3"/>
      <c r="Z206" s="3"/>
    </row>
    <row r="207" spans="8:26" x14ac:dyDescent="0.3">
      <c r="H207" s="33"/>
      <c r="I207" s="33"/>
      <c r="J207" s="33"/>
      <c r="K207" s="33"/>
      <c r="L207" s="33"/>
      <c r="M207" s="33"/>
      <c r="N207" s="33"/>
      <c r="O207" s="33"/>
      <c r="P207" s="33"/>
      <c r="Q207" s="33"/>
      <c r="R207" s="33"/>
      <c r="S207" s="33"/>
      <c r="T207" s="33"/>
      <c r="U207" s="33"/>
      <c r="V207" s="33"/>
      <c r="W207" s="3"/>
      <c r="X207" s="3"/>
      <c r="Y207" s="3"/>
      <c r="Z207" s="3"/>
    </row>
    <row r="208" spans="8:26" x14ac:dyDescent="0.3">
      <c r="H208" s="33"/>
      <c r="I208" s="33"/>
      <c r="J208" s="33"/>
      <c r="K208" s="33"/>
      <c r="L208" s="33"/>
      <c r="M208" s="33"/>
      <c r="N208" s="33"/>
      <c r="O208" s="33"/>
      <c r="P208" s="33"/>
      <c r="Q208" s="33"/>
      <c r="R208" s="33"/>
      <c r="S208" s="33"/>
      <c r="T208" s="33"/>
      <c r="U208" s="33"/>
      <c r="V208" s="33"/>
      <c r="W208" s="3"/>
      <c r="X208" s="3"/>
      <c r="Y208" s="3"/>
      <c r="Z208" s="3"/>
    </row>
    <row r="209" spans="8:26" x14ac:dyDescent="0.3">
      <c r="H209" s="33"/>
      <c r="I209" s="33"/>
      <c r="J209" s="33"/>
      <c r="K209" s="33"/>
      <c r="L209" s="33"/>
      <c r="M209" s="33"/>
      <c r="N209" s="33"/>
      <c r="O209" s="33"/>
      <c r="P209" s="33"/>
      <c r="Q209" s="33"/>
      <c r="R209" s="33"/>
      <c r="S209" s="33"/>
      <c r="T209" s="33"/>
      <c r="U209" s="33"/>
      <c r="V209" s="33"/>
      <c r="W209" s="3"/>
      <c r="X209" s="3"/>
      <c r="Y209" s="3"/>
      <c r="Z209" s="3"/>
    </row>
    <row r="210" spans="8:26" x14ac:dyDescent="0.3">
      <c r="H210" s="33"/>
      <c r="I210" s="33"/>
      <c r="J210" s="33"/>
      <c r="K210" s="33"/>
      <c r="L210" s="33"/>
      <c r="M210" s="33"/>
      <c r="N210" s="33"/>
      <c r="O210" s="33"/>
      <c r="P210" s="33"/>
      <c r="Q210" s="33"/>
      <c r="R210" s="33"/>
      <c r="S210" s="33"/>
      <c r="T210" s="33"/>
      <c r="U210" s="33"/>
      <c r="V210" s="33"/>
      <c r="W210" s="3"/>
      <c r="X210" s="3"/>
      <c r="Y210" s="3"/>
      <c r="Z210" s="3"/>
    </row>
    <row r="211" spans="8:26" x14ac:dyDescent="0.3">
      <c r="H211" s="33"/>
      <c r="I211" s="33"/>
      <c r="J211" s="33"/>
      <c r="K211" s="33"/>
      <c r="L211" s="33"/>
      <c r="M211" s="33"/>
      <c r="N211" s="33"/>
      <c r="O211" s="33"/>
      <c r="P211" s="33"/>
      <c r="Q211" s="33"/>
      <c r="R211" s="33"/>
      <c r="S211" s="33"/>
      <c r="T211" s="33"/>
      <c r="U211" s="33"/>
      <c r="V211" s="33"/>
      <c r="W211" s="3"/>
      <c r="X211" s="3"/>
      <c r="Y211" s="3"/>
      <c r="Z211" s="3"/>
    </row>
    <row r="212" spans="8:26" x14ac:dyDescent="0.3">
      <c r="H212" s="33"/>
      <c r="I212" s="33"/>
      <c r="J212" s="33"/>
      <c r="K212" s="33"/>
      <c r="L212" s="33"/>
      <c r="M212" s="33"/>
      <c r="N212" s="33"/>
      <c r="O212" s="33"/>
      <c r="P212" s="33"/>
      <c r="Q212" s="33"/>
      <c r="R212" s="33"/>
      <c r="S212" s="33"/>
      <c r="T212" s="33"/>
      <c r="U212" s="33"/>
      <c r="V212" s="33"/>
      <c r="W212" s="3"/>
      <c r="X212" s="3"/>
      <c r="Y212" s="3"/>
      <c r="Z212" s="3"/>
    </row>
    <row r="213" spans="8:26" x14ac:dyDescent="0.3">
      <c r="H213" s="33"/>
      <c r="I213" s="33"/>
      <c r="J213" s="33"/>
      <c r="K213" s="33"/>
      <c r="L213" s="33"/>
      <c r="M213" s="33"/>
      <c r="N213" s="33"/>
      <c r="O213" s="33"/>
      <c r="P213" s="33"/>
      <c r="Q213" s="33"/>
      <c r="R213" s="33"/>
      <c r="S213" s="33"/>
      <c r="T213" s="33"/>
      <c r="U213" s="33"/>
      <c r="V213" s="33"/>
      <c r="W213" s="3"/>
      <c r="X213" s="3"/>
      <c r="Y213" s="3"/>
      <c r="Z213" s="3"/>
    </row>
    <row r="214" spans="8:26" x14ac:dyDescent="0.3">
      <c r="H214" s="33"/>
      <c r="I214" s="33"/>
      <c r="J214" s="33"/>
      <c r="K214" s="33"/>
      <c r="L214" s="33"/>
      <c r="M214" s="33"/>
      <c r="N214" s="33"/>
      <c r="O214" s="33"/>
      <c r="P214" s="33"/>
      <c r="Q214" s="33"/>
      <c r="R214" s="33"/>
      <c r="S214" s="33"/>
      <c r="T214" s="33"/>
      <c r="U214" s="33"/>
      <c r="V214" s="33"/>
      <c r="W214" s="3"/>
      <c r="X214" s="3"/>
      <c r="Y214" s="3"/>
      <c r="Z214" s="3"/>
    </row>
    <row r="215" spans="8:26" x14ac:dyDescent="0.3">
      <c r="H215" s="33"/>
      <c r="I215" s="33"/>
      <c r="J215" s="33"/>
      <c r="K215" s="33"/>
      <c r="L215" s="33"/>
      <c r="M215" s="33"/>
      <c r="N215" s="33"/>
      <c r="O215" s="33"/>
      <c r="P215" s="33"/>
      <c r="Q215" s="33"/>
      <c r="R215" s="33"/>
      <c r="S215" s="33"/>
      <c r="T215" s="33"/>
      <c r="U215" s="33"/>
      <c r="V215" s="33"/>
      <c r="W215" s="3"/>
      <c r="X215" s="3"/>
      <c r="Y215" s="3"/>
      <c r="Z215" s="3"/>
    </row>
    <row r="216" spans="8:26" x14ac:dyDescent="0.3">
      <c r="H216" s="33"/>
      <c r="I216" s="33"/>
      <c r="J216" s="33"/>
      <c r="K216" s="33"/>
      <c r="L216" s="33"/>
      <c r="M216" s="33"/>
      <c r="N216" s="33"/>
      <c r="O216" s="33"/>
      <c r="P216" s="33"/>
      <c r="Q216" s="33"/>
      <c r="R216" s="33"/>
      <c r="S216" s="33"/>
      <c r="T216" s="33"/>
      <c r="U216" s="33"/>
      <c r="V216" s="33"/>
      <c r="W216" s="3"/>
      <c r="X216" s="3"/>
      <c r="Y216" s="3"/>
      <c r="Z216" s="3"/>
    </row>
    <row r="217" spans="8:26" x14ac:dyDescent="0.3">
      <c r="H217" s="33"/>
      <c r="I217" s="33"/>
      <c r="J217" s="33"/>
      <c r="K217" s="33"/>
      <c r="L217" s="33"/>
      <c r="M217" s="33"/>
      <c r="N217" s="33"/>
      <c r="O217" s="33"/>
      <c r="P217" s="33"/>
      <c r="Q217" s="33"/>
      <c r="R217" s="33"/>
      <c r="S217" s="33"/>
      <c r="T217" s="33"/>
      <c r="U217" s="33"/>
      <c r="V217" s="33"/>
      <c r="W217" s="3"/>
      <c r="X217" s="3"/>
      <c r="Y217" s="3"/>
      <c r="Z217" s="3"/>
    </row>
    <row r="218" spans="8:26" x14ac:dyDescent="0.3">
      <c r="H218" s="33"/>
      <c r="I218" s="33"/>
      <c r="J218" s="33"/>
      <c r="K218" s="33"/>
      <c r="L218" s="33"/>
      <c r="M218" s="33"/>
      <c r="N218" s="33"/>
      <c r="O218" s="33"/>
      <c r="P218" s="33"/>
      <c r="Q218" s="33"/>
      <c r="R218" s="33"/>
      <c r="S218" s="33"/>
      <c r="T218" s="33"/>
      <c r="U218" s="33"/>
      <c r="V218" s="33"/>
      <c r="W218" s="3"/>
      <c r="X218" s="3"/>
      <c r="Y218" s="3"/>
      <c r="Z218" s="3"/>
    </row>
    <row r="219" spans="8:26" x14ac:dyDescent="0.3">
      <c r="H219" s="33"/>
      <c r="I219" s="33"/>
      <c r="J219" s="33"/>
      <c r="K219" s="33"/>
      <c r="L219" s="33"/>
      <c r="M219" s="33"/>
      <c r="N219" s="33"/>
      <c r="O219" s="33"/>
      <c r="P219" s="33"/>
      <c r="Q219" s="33"/>
      <c r="R219" s="33"/>
      <c r="S219" s="33"/>
      <c r="T219" s="33"/>
      <c r="U219" s="33"/>
      <c r="V219" s="33"/>
      <c r="W219" s="3"/>
      <c r="X219" s="3"/>
      <c r="Y219" s="3"/>
      <c r="Z219" s="3"/>
    </row>
    <row r="220" spans="8:26" x14ac:dyDescent="0.3">
      <c r="H220" s="33"/>
      <c r="I220" s="33"/>
      <c r="J220" s="33"/>
      <c r="K220" s="33"/>
      <c r="L220" s="33"/>
      <c r="M220" s="33"/>
      <c r="N220" s="33"/>
      <c r="O220" s="33"/>
      <c r="P220" s="33"/>
      <c r="Q220" s="33"/>
      <c r="R220" s="33"/>
      <c r="S220" s="33"/>
      <c r="T220" s="33"/>
      <c r="U220" s="33"/>
      <c r="V220" s="33"/>
      <c r="W220" s="3"/>
      <c r="X220" s="3"/>
      <c r="Y220" s="3"/>
      <c r="Z220" s="3"/>
    </row>
    <row r="221" spans="8:26" x14ac:dyDescent="0.3">
      <c r="H221" s="33"/>
      <c r="I221" s="33"/>
      <c r="J221" s="33"/>
      <c r="K221" s="33"/>
      <c r="L221" s="33"/>
      <c r="M221" s="33"/>
      <c r="N221" s="33"/>
      <c r="O221" s="33"/>
      <c r="P221" s="33"/>
      <c r="Q221" s="33"/>
      <c r="R221" s="33"/>
      <c r="S221" s="33"/>
      <c r="T221" s="33"/>
      <c r="U221" s="33"/>
      <c r="V221" s="33"/>
      <c r="W221" s="3"/>
      <c r="X221" s="3"/>
      <c r="Y221" s="3"/>
      <c r="Z221" s="3"/>
    </row>
    <row r="222" spans="8:26" x14ac:dyDescent="0.3">
      <c r="H222" s="33"/>
      <c r="I222" s="33"/>
      <c r="J222" s="33"/>
      <c r="K222" s="33"/>
      <c r="L222" s="33"/>
      <c r="M222" s="33"/>
      <c r="N222" s="33"/>
      <c r="O222" s="33"/>
      <c r="P222" s="33"/>
      <c r="Q222" s="33"/>
      <c r="R222" s="33"/>
      <c r="S222" s="33"/>
      <c r="T222" s="33"/>
      <c r="U222" s="33"/>
      <c r="V222" s="33"/>
      <c r="W222" s="3"/>
      <c r="X222" s="3"/>
      <c r="Y222" s="3"/>
      <c r="Z222" s="3"/>
    </row>
    <row r="223" spans="8:26" x14ac:dyDescent="0.3">
      <c r="H223" s="33"/>
      <c r="I223" s="33"/>
      <c r="J223" s="33"/>
      <c r="K223" s="33"/>
      <c r="L223" s="33"/>
      <c r="M223" s="33"/>
      <c r="N223" s="33"/>
      <c r="O223" s="33"/>
      <c r="P223" s="33"/>
      <c r="Q223" s="33"/>
      <c r="R223" s="33"/>
      <c r="S223" s="33"/>
      <c r="T223" s="33"/>
      <c r="U223" s="33"/>
      <c r="V223" s="33"/>
      <c r="W223" s="3"/>
      <c r="X223" s="3"/>
      <c r="Y223" s="3"/>
      <c r="Z223" s="3"/>
    </row>
    <row r="224" spans="8:26" x14ac:dyDescent="0.3">
      <c r="H224" s="33"/>
      <c r="I224" s="33"/>
      <c r="J224" s="33"/>
      <c r="K224" s="33"/>
      <c r="L224" s="33"/>
      <c r="M224" s="33"/>
      <c r="N224" s="33"/>
      <c r="O224" s="33"/>
      <c r="P224" s="33"/>
      <c r="Q224" s="33"/>
      <c r="R224" s="33"/>
      <c r="S224" s="33"/>
      <c r="T224" s="33"/>
      <c r="U224" s="33"/>
      <c r="V224" s="33"/>
      <c r="W224" s="3"/>
      <c r="X224" s="3"/>
      <c r="Y224" s="3"/>
      <c r="Z224" s="3"/>
    </row>
    <row r="225" spans="8:26" x14ac:dyDescent="0.3">
      <c r="H225" s="33"/>
      <c r="I225" s="33"/>
      <c r="J225" s="33"/>
      <c r="K225" s="33"/>
      <c r="L225" s="33"/>
      <c r="M225" s="33"/>
      <c r="N225" s="33"/>
      <c r="O225" s="33"/>
      <c r="P225" s="33"/>
      <c r="Q225" s="33"/>
      <c r="R225" s="33"/>
      <c r="S225" s="33"/>
      <c r="T225" s="33"/>
      <c r="U225" s="33"/>
      <c r="V225" s="33"/>
      <c r="W225" s="3"/>
      <c r="X225" s="3"/>
      <c r="Y225" s="3"/>
      <c r="Z225" s="3"/>
    </row>
    <row r="226" spans="8:26" x14ac:dyDescent="0.3">
      <c r="H226" s="33"/>
      <c r="I226" s="33"/>
      <c r="J226" s="33"/>
      <c r="K226" s="33"/>
      <c r="L226" s="33"/>
      <c r="M226" s="33"/>
      <c r="N226" s="33"/>
      <c r="O226" s="33"/>
      <c r="P226" s="33"/>
      <c r="Q226" s="33"/>
      <c r="R226" s="33"/>
      <c r="S226" s="33"/>
      <c r="T226" s="33"/>
      <c r="U226" s="33"/>
      <c r="V226" s="33"/>
      <c r="W226" s="3"/>
      <c r="X226" s="3"/>
      <c r="Y226" s="3"/>
      <c r="Z226" s="3"/>
    </row>
    <row r="227" spans="8:26" x14ac:dyDescent="0.3">
      <c r="H227" s="33"/>
      <c r="I227" s="33"/>
      <c r="J227" s="33"/>
      <c r="K227" s="33"/>
      <c r="L227" s="33"/>
      <c r="M227" s="33"/>
      <c r="N227" s="33"/>
      <c r="O227" s="33"/>
      <c r="P227" s="33"/>
      <c r="Q227" s="33"/>
      <c r="R227" s="33"/>
      <c r="S227" s="33"/>
      <c r="T227" s="33"/>
      <c r="U227" s="33"/>
      <c r="V227" s="33"/>
      <c r="W227" s="3"/>
      <c r="X227" s="3"/>
      <c r="Y227" s="3"/>
      <c r="Z227" s="3"/>
    </row>
    <row r="228" spans="8:26" x14ac:dyDescent="0.3">
      <c r="H228" s="33"/>
      <c r="I228" s="33"/>
      <c r="J228" s="33"/>
      <c r="K228" s="33"/>
      <c r="L228" s="33"/>
      <c r="M228" s="33"/>
      <c r="N228" s="33"/>
      <c r="O228" s="33"/>
      <c r="P228" s="33"/>
      <c r="Q228" s="33"/>
      <c r="R228" s="33"/>
      <c r="S228" s="33"/>
      <c r="T228" s="33"/>
      <c r="U228" s="33"/>
      <c r="V228" s="33"/>
      <c r="W228" s="3"/>
      <c r="X228" s="3"/>
      <c r="Y228" s="3"/>
      <c r="Z228" s="3"/>
    </row>
    <row r="229" spans="8:26" x14ac:dyDescent="0.3">
      <c r="H229" s="33"/>
      <c r="I229" s="33"/>
      <c r="J229" s="33"/>
      <c r="K229" s="33"/>
      <c r="L229" s="33"/>
      <c r="M229" s="33"/>
      <c r="N229" s="33"/>
      <c r="O229" s="33"/>
      <c r="P229" s="33"/>
      <c r="Q229" s="33"/>
      <c r="R229" s="33"/>
      <c r="S229" s="33"/>
      <c r="T229" s="33"/>
      <c r="U229" s="33"/>
      <c r="V229" s="33"/>
      <c r="W229" s="3"/>
      <c r="X229" s="3"/>
      <c r="Y229" s="3"/>
      <c r="Z229" s="3"/>
    </row>
    <row r="230" spans="8:26" x14ac:dyDescent="0.3">
      <c r="H230" s="33"/>
      <c r="I230" s="33"/>
      <c r="J230" s="33"/>
      <c r="K230" s="33"/>
      <c r="L230" s="33"/>
      <c r="M230" s="33"/>
      <c r="N230" s="33"/>
      <c r="O230" s="33"/>
      <c r="P230" s="33"/>
      <c r="Q230" s="33"/>
      <c r="R230" s="33"/>
      <c r="S230" s="33"/>
      <c r="T230" s="33"/>
      <c r="U230" s="33"/>
      <c r="V230" s="33"/>
      <c r="W230" s="3"/>
      <c r="X230" s="3"/>
      <c r="Y230" s="3"/>
      <c r="Z230" s="3"/>
    </row>
    <row r="231" spans="8:26" x14ac:dyDescent="0.3">
      <c r="H231" s="33"/>
      <c r="I231" s="33"/>
      <c r="J231" s="33"/>
      <c r="K231" s="33"/>
      <c r="L231" s="33"/>
      <c r="M231" s="33"/>
      <c r="N231" s="33"/>
      <c r="O231" s="33"/>
      <c r="P231" s="33"/>
      <c r="Q231" s="33"/>
      <c r="R231" s="33"/>
      <c r="S231" s="33"/>
      <c r="T231" s="33"/>
      <c r="U231" s="33"/>
      <c r="V231" s="33"/>
      <c r="W231" s="3"/>
      <c r="X231" s="3"/>
      <c r="Y231" s="3"/>
      <c r="Z231" s="3"/>
    </row>
    <row r="232" spans="8:26" x14ac:dyDescent="0.3">
      <c r="H232" s="33"/>
      <c r="I232" s="33"/>
      <c r="J232" s="33"/>
      <c r="K232" s="33"/>
      <c r="L232" s="33"/>
      <c r="M232" s="33"/>
      <c r="N232" s="33"/>
      <c r="O232" s="33"/>
      <c r="P232" s="33"/>
      <c r="Q232" s="33"/>
      <c r="R232" s="33"/>
      <c r="S232" s="33"/>
      <c r="T232" s="33"/>
      <c r="U232" s="33"/>
      <c r="V232" s="33"/>
      <c r="W232" s="3"/>
      <c r="X232" s="3"/>
      <c r="Y232" s="3"/>
      <c r="Z232" s="3"/>
    </row>
    <row r="233" spans="8:26" x14ac:dyDescent="0.3">
      <c r="H233" s="33"/>
      <c r="I233" s="33"/>
      <c r="J233" s="33"/>
      <c r="K233" s="33"/>
      <c r="L233" s="33"/>
      <c r="M233" s="33"/>
      <c r="N233" s="33"/>
      <c r="O233" s="33"/>
      <c r="P233" s="33"/>
      <c r="Q233" s="33"/>
      <c r="R233" s="33"/>
      <c r="S233" s="33"/>
      <c r="T233" s="33"/>
      <c r="U233" s="33"/>
      <c r="V233" s="33"/>
      <c r="W233" s="3"/>
      <c r="X233" s="3"/>
      <c r="Y233" s="3"/>
      <c r="Z233" s="3"/>
    </row>
    <row r="234" spans="8:26" x14ac:dyDescent="0.3">
      <c r="H234" s="33"/>
      <c r="I234" s="33"/>
      <c r="J234" s="33"/>
      <c r="K234" s="33"/>
      <c r="L234" s="33"/>
      <c r="M234" s="33"/>
      <c r="N234" s="33"/>
      <c r="O234" s="33"/>
      <c r="P234" s="33"/>
      <c r="Q234" s="33"/>
      <c r="R234" s="33"/>
      <c r="S234" s="33"/>
      <c r="T234" s="33"/>
      <c r="U234" s="33"/>
      <c r="V234" s="33"/>
      <c r="W234" s="3"/>
      <c r="X234" s="3"/>
      <c r="Y234" s="3"/>
      <c r="Z234" s="3"/>
    </row>
    <row r="235" spans="8:26" x14ac:dyDescent="0.3">
      <c r="H235" s="33"/>
      <c r="I235" s="33"/>
      <c r="J235" s="33"/>
      <c r="K235" s="33"/>
      <c r="L235" s="33"/>
      <c r="M235" s="33"/>
      <c r="N235" s="33"/>
      <c r="O235" s="33"/>
      <c r="P235" s="33"/>
      <c r="Q235" s="33"/>
      <c r="R235" s="33"/>
      <c r="S235" s="33"/>
      <c r="T235" s="33"/>
      <c r="U235" s="33"/>
      <c r="V235" s="33"/>
      <c r="W235" s="3"/>
      <c r="X235" s="3"/>
      <c r="Y235" s="3"/>
      <c r="Z235" s="3"/>
    </row>
  </sheetData>
  <mergeCells count="11">
    <mergeCell ref="X6:Z8"/>
    <mergeCell ref="L5:O5"/>
    <mergeCell ref="O6:O8"/>
    <mergeCell ref="AC30:AX30"/>
    <mergeCell ref="H1:V4"/>
    <mergeCell ref="H6:J8"/>
    <mergeCell ref="T6:V8"/>
    <mergeCell ref="P6:R8"/>
    <mergeCell ref="L6:N8"/>
    <mergeCell ref="H9:V235"/>
    <mergeCell ref="AH32:AT5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5489B-5671-42DE-84A2-08208B9C425F}">
  <dimension ref="A3:K35"/>
  <sheetViews>
    <sheetView workbookViewId="0">
      <selection activeCell="F7" sqref="F7"/>
    </sheetView>
  </sheetViews>
  <sheetFormatPr defaultRowHeight="14.4" x14ac:dyDescent="0.3"/>
  <cols>
    <col min="1" max="1" width="12.88671875" bestFit="1" customWidth="1"/>
    <col min="2" max="2" width="28.44140625" bestFit="1" customWidth="1"/>
    <col min="7" max="7" width="14.5546875" bestFit="1" customWidth="1"/>
    <col min="8" max="8" width="15.5546875" bestFit="1" customWidth="1"/>
    <col min="9" max="9" width="3.88671875" bestFit="1" customWidth="1"/>
    <col min="10" max="10" width="10.5546875" bestFit="1" customWidth="1"/>
  </cols>
  <sheetData>
    <row r="3" spans="1:10" x14ac:dyDescent="0.3">
      <c r="A3" s="1" t="s">
        <v>33</v>
      </c>
      <c r="B3" t="s">
        <v>32</v>
      </c>
      <c r="G3" s="1" t="s">
        <v>28</v>
      </c>
      <c r="H3" s="1" t="s">
        <v>26</v>
      </c>
    </row>
    <row r="4" spans="1:10" x14ac:dyDescent="0.3">
      <c r="A4" s="2" t="s">
        <v>5</v>
      </c>
      <c r="B4">
        <v>30.14423076923077</v>
      </c>
      <c r="G4" s="1" t="s">
        <v>34</v>
      </c>
      <c r="H4" t="s">
        <v>5</v>
      </c>
      <c r="I4" t="s">
        <v>0</v>
      </c>
      <c r="J4" t="s">
        <v>25</v>
      </c>
    </row>
    <row r="5" spans="1:10" x14ac:dyDescent="0.3">
      <c r="A5" s="2" t="s">
        <v>0</v>
      </c>
      <c r="B5">
        <v>33.125</v>
      </c>
      <c r="G5" s="2" t="s">
        <v>1</v>
      </c>
      <c r="H5">
        <v>39</v>
      </c>
      <c r="I5">
        <v>26</v>
      </c>
      <c r="J5">
        <v>65</v>
      </c>
    </row>
    <row r="6" spans="1:10" x14ac:dyDescent="0.3">
      <c r="A6" s="2" t="s">
        <v>25</v>
      </c>
      <c r="B6">
        <v>31.574999999999999</v>
      </c>
      <c r="G6" s="2" t="s">
        <v>2</v>
      </c>
      <c r="H6">
        <v>32</v>
      </c>
      <c r="I6">
        <v>36</v>
      </c>
      <c r="J6">
        <v>68</v>
      </c>
    </row>
    <row r="7" spans="1:10" x14ac:dyDescent="0.3">
      <c r="G7" s="2" t="s">
        <v>6</v>
      </c>
      <c r="H7">
        <v>33</v>
      </c>
      <c r="I7">
        <v>34</v>
      </c>
      <c r="J7">
        <v>67</v>
      </c>
    </row>
    <row r="8" spans="1:10" x14ac:dyDescent="0.3">
      <c r="G8" s="2" t="s">
        <v>25</v>
      </c>
      <c r="H8">
        <v>104</v>
      </c>
      <c r="I8">
        <v>96</v>
      </c>
      <c r="J8">
        <v>200</v>
      </c>
    </row>
    <row r="28" spans="3:11" x14ac:dyDescent="0.3">
      <c r="C28" s="34" t="s">
        <v>58</v>
      </c>
      <c r="D28" s="35"/>
      <c r="E28" s="35"/>
      <c r="F28" s="35"/>
      <c r="G28" s="35"/>
      <c r="H28" s="35"/>
      <c r="I28" s="35"/>
      <c r="J28" s="35"/>
      <c r="K28" s="35"/>
    </row>
    <row r="29" spans="3:11" x14ac:dyDescent="0.3">
      <c r="C29" s="35"/>
      <c r="D29" s="35"/>
      <c r="E29" s="35"/>
      <c r="F29" s="35"/>
      <c r="G29" s="35"/>
      <c r="H29" s="35"/>
      <c r="I29" s="35"/>
      <c r="J29" s="35"/>
      <c r="K29" s="35"/>
    </row>
    <row r="30" spans="3:11" x14ac:dyDescent="0.3">
      <c r="C30" s="35"/>
      <c r="D30" s="35"/>
      <c r="E30" s="35"/>
      <c r="F30" s="35"/>
      <c r="G30" s="35"/>
      <c r="H30" s="35"/>
      <c r="I30" s="35"/>
      <c r="J30" s="35"/>
      <c r="K30" s="35"/>
    </row>
    <row r="31" spans="3:11" x14ac:dyDescent="0.3">
      <c r="C31" s="35"/>
      <c r="D31" s="35"/>
      <c r="E31" s="35"/>
      <c r="F31" s="35"/>
      <c r="G31" s="35"/>
      <c r="H31" s="35"/>
      <c r="I31" s="35"/>
      <c r="J31" s="35"/>
      <c r="K31" s="35"/>
    </row>
    <row r="32" spans="3:11" x14ac:dyDescent="0.3">
      <c r="C32" s="35"/>
      <c r="D32" s="35"/>
      <c r="E32" s="35"/>
      <c r="F32" s="35"/>
      <c r="G32" s="35"/>
      <c r="H32" s="35"/>
      <c r="I32" s="35"/>
      <c r="J32" s="35"/>
      <c r="K32" s="35"/>
    </row>
    <row r="33" spans="3:11" x14ac:dyDescent="0.3">
      <c r="C33" s="35"/>
      <c r="D33" s="35"/>
      <c r="E33" s="35"/>
      <c r="F33" s="35"/>
      <c r="G33" s="35"/>
      <c r="H33" s="35"/>
      <c r="I33" s="35"/>
      <c r="J33" s="35"/>
      <c r="K33" s="35"/>
    </row>
    <row r="34" spans="3:11" x14ac:dyDescent="0.3">
      <c r="C34" s="35"/>
      <c r="D34" s="35"/>
      <c r="E34" s="35"/>
      <c r="F34" s="35"/>
      <c r="G34" s="35"/>
      <c r="H34" s="35"/>
      <c r="I34" s="35"/>
      <c r="J34" s="35"/>
      <c r="K34" s="35"/>
    </row>
    <row r="35" spans="3:11" x14ac:dyDescent="0.3">
      <c r="C35" s="35"/>
      <c r="D35" s="35"/>
      <c r="E35" s="35"/>
      <c r="F35" s="35"/>
      <c r="G35" s="35"/>
      <c r="H35" s="35"/>
      <c r="I35" s="35"/>
      <c r="J35" s="35"/>
      <c r="K35" s="35"/>
    </row>
  </sheetData>
  <mergeCells count="1">
    <mergeCell ref="C28:K35"/>
  </mergeCell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17969-5A00-4D2A-A5B2-F6E7266DF092}">
  <dimension ref="A3:L36"/>
  <sheetViews>
    <sheetView topLeftCell="A16" zoomScale="87" workbookViewId="0">
      <selection activeCell="B41" sqref="B41"/>
    </sheetView>
  </sheetViews>
  <sheetFormatPr defaultRowHeight="14.4" x14ac:dyDescent="0.3"/>
  <cols>
    <col min="1" max="1" width="10.5546875" bestFit="1" customWidth="1"/>
    <col min="2" max="2" width="24.88671875" bestFit="1" customWidth="1"/>
    <col min="7" max="7" width="24.88671875" bestFit="1" customWidth="1"/>
    <col min="8" max="8" width="15.77734375" bestFit="1" customWidth="1"/>
    <col min="9" max="9" width="4.21875" bestFit="1" customWidth="1"/>
    <col min="10" max="10" width="7.77734375" bestFit="1" customWidth="1"/>
    <col min="11" max="11" width="10.5546875" bestFit="1" customWidth="1"/>
  </cols>
  <sheetData>
    <row r="3" spans="1:11" x14ac:dyDescent="0.3">
      <c r="A3" s="1" t="s">
        <v>31</v>
      </c>
      <c r="B3" t="s">
        <v>30</v>
      </c>
      <c r="G3" s="1" t="s">
        <v>30</v>
      </c>
      <c r="H3" s="1" t="s">
        <v>26</v>
      </c>
    </row>
    <row r="4" spans="1:11" x14ac:dyDescent="0.3">
      <c r="A4" s="2" t="s">
        <v>3</v>
      </c>
      <c r="B4">
        <v>66</v>
      </c>
      <c r="G4" s="1" t="s">
        <v>24</v>
      </c>
      <c r="H4" t="s">
        <v>1</v>
      </c>
      <c r="I4" t="s">
        <v>2</v>
      </c>
      <c r="J4" t="s">
        <v>6</v>
      </c>
      <c r="K4" t="s">
        <v>25</v>
      </c>
    </row>
    <row r="5" spans="1:11" x14ac:dyDescent="0.3">
      <c r="A5" s="2" t="s">
        <v>7</v>
      </c>
      <c r="B5">
        <v>70</v>
      </c>
      <c r="G5" s="2" t="s">
        <v>1</v>
      </c>
      <c r="H5">
        <v>23</v>
      </c>
      <c r="I5">
        <v>22</v>
      </c>
      <c r="J5">
        <v>21</v>
      </c>
      <c r="K5">
        <v>66</v>
      </c>
    </row>
    <row r="6" spans="1:11" x14ac:dyDescent="0.3">
      <c r="A6" s="2" t="s">
        <v>9</v>
      </c>
      <c r="B6">
        <v>64</v>
      </c>
      <c r="G6" s="2" t="s">
        <v>2</v>
      </c>
      <c r="H6">
        <v>23</v>
      </c>
      <c r="I6">
        <v>23</v>
      </c>
      <c r="J6">
        <v>28</v>
      </c>
      <c r="K6">
        <v>74</v>
      </c>
    </row>
    <row r="7" spans="1:11" x14ac:dyDescent="0.3">
      <c r="A7" s="2" t="s">
        <v>25</v>
      </c>
      <c r="B7">
        <v>200</v>
      </c>
      <c r="G7" s="2" t="s">
        <v>6</v>
      </c>
      <c r="H7">
        <v>22</v>
      </c>
      <c r="I7">
        <v>24</v>
      </c>
      <c r="J7">
        <v>14</v>
      </c>
      <c r="K7">
        <v>60</v>
      </c>
    </row>
    <row r="8" spans="1:11" x14ac:dyDescent="0.3">
      <c r="G8" s="2" t="s">
        <v>25</v>
      </c>
      <c r="H8">
        <v>68</v>
      </c>
      <c r="I8">
        <v>69</v>
      </c>
      <c r="J8">
        <v>63</v>
      </c>
      <c r="K8">
        <v>200</v>
      </c>
    </row>
    <row r="33" spans="2:12" x14ac:dyDescent="0.3">
      <c r="B33" s="34" t="s">
        <v>48</v>
      </c>
      <c r="C33" s="35"/>
      <c r="D33" s="35"/>
      <c r="E33" s="35"/>
      <c r="F33" s="35"/>
      <c r="G33" s="35"/>
      <c r="H33" s="35"/>
      <c r="I33" s="35"/>
      <c r="J33" s="35"/>
      <c r="K33" s="35"/>
      <c r="L33" s="35"/>
    </row>
    <row r="34" spans="2:12" x14ac:dyDescent="0.3">
      <c r="B34" s="35"/>
      <c r="C34" s="35"/>
      <c r="D34" s="35"/>
      <c r="E34" s="35"/>
      <c r="F34" s="35"/>
      <c r="G34" s="35"/>
      <c r="H34" s="35"/>
      <c r="I34" s="35"/>
      <c r="J34" s="35"/>
      <c r="K34" s="35"/>
      <c r="L34" s="35"/>
    </row>
    <row r="35" spans="2:12" x14ac:dyDescent="0.3">
      <c r="B35" s="35"/>
      <c r="C35" s="35"/>
      <c r="D35" s="35"/>
      <c r="E35" s="35"/>
      <c r="F35" s="35"/>
      <c r="G35" s="35"/>
      <c r="H35" s="35"/>
      <c r="I35" s="35"/>
      <c r="J35" s="35"/>
      <c r="K35" s="35"/>
      <c r="L35" s="35"/>
    </row>
    <row r="36" spans="2:12" x14ac:dyDescent="0.3">
      <c r="B36" s="35"/>
      <c r="C36" s="35"/>
      <c r="D36" s="35"/>
      <c r="E36" s="35"/>
      <c r="F36" s="35"/>
      <c r="G36" s="35"/>
      <c r="H36" s="35"/>
      <c r="I36" s="35"/>
      <c r="J36" s="35"/>
      <c r="K36" s="35"/>
      <c r="L36" s="35"/>
    </row>
  </sheetData>
  <mergeCells count="1">
    <mergeCell ref="B33:L36"/>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18EC2-39E4-42B7-9167-2E73DF0A8A25}">
  <dimension ref="A1:I35"/>
  <sheetViews>
    <sheetView workbookViewId="0">
      <selection activeCell="J37" sqref="J37"/>
    </sheetView>
  </sheetViews>
  <sheetFormatPr defaultRowHeight="14.4" x14ac:dyDescent="0.3"/>
  <cols>
    <col min="1" max="1" width="14.5546875" bestFit="1" customWidth="1"/>
    <col min="2" max="2" width="15.5546875" bestFit="1" customWidth="1"/>
    <col min="3" max="3" width="4.21875" bestFit="1" customWidth="1"/>
    <col min="4" max="4" width="7.77734375" bestFit="1" customWidth="1"/>
    <col min="5" max="5" width="10.5546875" bestFit="1" customWidth="1"/>
  </cols>
  <sheetData>
    <row r="1" spans="1:5" x14ac:dyDescent="0.3">
      <c r="A1" s="36" t="s">
        <v>29</v>
      </c>
      <c r="B1" s="36"/>
      <c r="C1" s="36"/>
      <c r="D1" s="36"/>
      <c r="E1" s="36"/>
    </row>
    <row r="3" spans="1:5" x14ac:dyDescent="0.3">
      <c r="A3" s="1" t="s">
        <v>28</v>
      </c>
      <c r="B3" s="1" t="s">
        <v>26</v>
      </c>
    </row>
    <row r="4" spans="1:5" x14ac:dyDescent="0.3">
      <c r="A4" s="1" t="s">
        <v>24</v>
      </c>
      <c r="B4" t="s">
        <v>1</v>
      </c>
      <c r="C4" t="s">
        <v>2</v>
      </c>
      <c r="D4" t="s">
        <v>6</v>
      </c>
      <c r="E4" t="s">
        <v>25</v>
      </c>
    </row>
    <row r="5" spans="1:5" x14ac:dyDescent="0.3">
      <c r="A5" s="2">
        <v>0</v>
      </c>
      <c r="B5">
        <v>7</v>
      </c>
      <c r="C5">
        <v>10</v>
      </c>
      <c r="D5">
        <v>15</v>
      </c>
      <c r="E5">
        <v>32</v>
      </c>
    </row>
    <row r="6" spans="1:5" x14ac:dyDescent="0.3">
      <c r="A6" s="2">
        <v>15</v>
      </c>
      <c r="B6">
        <v>20</v>
      </c>
      <c r="C6">
        <v>10</v>
      </c>
      <c r="D6">
        <v>15</v>
      </c>
      <c r="E6">
        <v>45</v>
      </c>
    </row>
    <row r="7" spans="1:5" x14ac:dyDescent="0.3">
      <c r="A7" s="2">
        <v>30</v>
      </c>
      <c r="B7">
        <v>13</v>
      </c>
      <c r="C7">
        <v>8</v>
      </c>
      <c r="D7">
        <v>14</v>
      </c>
      <c r="E7">
        <v>35</v>
      </c>
    </row>
    <row r="8" spans="1:5" x14ac:dyDescent="0.3">
      <c r="A8" s="2">
        <v>45</v>
      </c>
      <c r="B8">
        <v>13</v>
      </c>
      <c r="C8">
        <v>11</v>
      </c>
      <c r="D8">
        <v>22</v>
      </c>
      <c r="E8">
        <v>46</v>
      </c>
    </row>
    <row r="9" spans="1:5" x14ac:dyDescent="0.3">
      <c r="A9" s="2">
        <v>60</v>
      </c>
      <c r="B9">
        <v>15</v>
      </c>
      <c r="C9">
        <v>18</v>
      </c>
      <c r="D9">
        <v>9</v>
      </c>
      <c r="E9">
        <v>42</v>
      </c>
    </row>
    <row r="10" spans="1:5" x14ac:dyDescent="0.3">
      <c r="A10" s="2" t="s">
        <v>25</v>
      </c>
      <c r="B10">
        <v>68</v>
      </c>
      <c r="C10">
        <v>57</v>
      </c>
      <c r="D10">
        <v>75</v>
      </c>
      <c r="E10">
        <v>200</v>
      </c>
    </row>
    <row r="30" spans="2:9" x14ac:dyDescent="0.3">
      <c r="B30" s="37" t="s">
        <v>47</v>
      </c>
      <c r="C30" s="35"/>
      <c r="D30" s="35"/>
      <c r="E30" s="35"/>
      <c r="F30" s="35"/>
      <c r="G30" s="35"/>
      <c r="H30" s="35"/>
      <c r="I30" s="35"/>
    </row>
    <row r="31" spans="2:9" x14ac:dyDescent="0.3">
      <c r="B31" s="35"/>
      <c r="C31" s="35"/>
      <c r="D31" s="35"/>
      <c r="E31" s="35"/>
      <c r="F31" s="35"/>
      <c r="G31" s="35"/>
      <c r="H31" s="35"/>
      <c r="I31" s="35"/>
    </row>
    <row r="32" spans="2:9" x14ac:dyDescent="0.3">
      <c r="B32" s="35"/>
      <c r="C32" s="35"/>
      <c r="D32" s="35"/>
      <c r="E32" s="35"/>
      <c r="F32" s="35"/>
      <c r="G32" s="35"/>
      <c r="H32" s="35"/>
      <c r="I32" s="35"/>
    </row>
    <row r="33" spans="2:9" x14ac:dyDescent="0.3">
      <c r="B33" s="35"/>
      <c r="C33" s="35"/>
      <c r="D33" s="35"/>
      <c r="E33" s="35"/>
      <c r="F33" s="35"/>
      <c r="G33" s="35"/>
      <c r="H33" s="35"/>
      <c r="I33" s="35"/>
    </row>
    <row r="34" spans="2:9" x14ac:dyDescent="0.3">
      <c r="B34" s="35"/>
      <c r="C34" s="35"/>
      <c r="D34" s="35"/>
      <c r="E34" s="35"/>
      <c r="F34" s="35"/>
      <c r="G34" s="35"/>
      <c r="H34" s="35"/>
      <c r="I34" s="35"/>
    </row>
    <row r="35" spans="2:9" x14ac:dyDescent="0.3">
      <c r="B35" s="35"/>
      <c r="C35" s="35"/>
      <c r="D35" s="35"/>
      <c r="E35" s="35"/>
      <c r="F35" s="35"/>
      <c r="G35" s="35"/>
      <c r="H35" s="35"/>
      <c r="I35" s="35"/>
    </row>
  </sheetData>
  <mergeCells count="2">
    <mergeCell ref="A1:E1"/>
    <mergeCell ref="B30:I35"/>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A7B5A-7100-4201-88CC-31C28F4FEEFA}">
  <dimension ref="A1:S201"/>
  <sheetViews>
    <sheetView zoomScale="72" workbookViewId="0">
      <selection activeCell="P25" sqref="P25"/>
    </sheetView>
  </sheetViews>
  <sheetFormatPr defaultRowHeight="14.4" x14ac:dyDescent="0.3"/>
  <cols>
    <col min="4" max="4" width="12.44140625" customWidth="1"/>
  </cols>
  <sheetData>
    <row r="1" spans="1:19" x14ac:dyDescent="0.3">
      <c r="A1" t="s">
        <v>21</v>
      </c>
    </row>
    <row r="2" spans="1:19" x14ac:dyDescent="0.3">
      <c r="A2">
        <v>20.3</v>
      </c>
    </row>
    <row r="3" spans="1:19" x14ac:dyDescent="0.3">
      <c r="A3">
        <v>20</v>
      </c>
      <c r="M3" s="38" t="s">
        <v>56</v>
      </c>
      <c r="N3" s="39"/>
      <c r="O3" s="39"/>
      <c r="P3" s="39"/>
      <c r="Q3" s="39"/>
      <c r="R3" s="39"/>
      <c r="S3" s="39"/>
    </row>
    <row r="4" spans="1:19" x14ac:dyDescent="0.3">
      <c r="A4">
        <v>31</v>
      </c>
      <c r="M4" s="39"/>
      <c r="N4" s="39"/>
      <c r="O4" s="39"/>
      <c r="P4" s="39"/>
      <c r="Q4" s="39"/>
      <c r="R4" s="39"/>
      <c r="S4" s="39"/>
    </row>
    <row r="5" spans="1:19" x14ac:dyDescent="0.3">
      <c r="A5">
        <v>32.5</v>
      </c>
      <c r="M5" s="39"/>
      <c r="N5" s="39"/>
      <c r="O5" s="39"/>
      <c r="P5" s="39"/>
      <c r="Q5" s="39"/>
      <c r="R5" s="39"/>
      <c r="S5" s="39"/>
    </row>
    <row r="6" spans="1:19" x14ac:dyDescent="0.3">
      <c r="A6">
        <v>21.7</v>
      </c>
      <c r="M6" s="39"/>
      <c r="N6" s="39"/>
      <c r="O6" s="39"/>
      <c r="P6" s="39"/>
      <c r="Q6" s="39"/>
      <c r="R6" s="39"/>
      <c r="S6" s="39"/>
    </row>
    <row r="7" spans="1:19" x14ac:dyDescent="0.3">
      <c r="A7">
        <v>24.6</v>
      </c>
      <c r="M7" s="39"/>
      <c r="N7" s="39"/>
      <c r="O7" s="39"/>
      <c r="P7" s="39"/>
      <c r="Q7" s="39"/>
      <c r="R7" s="39"/>
      <c r="S7" s="39"/>
    </row>
    <row r="8" spans="1:19" x14ac:dyDescent="0.3">
      <c r="A8">
        <v>29.9</v>
      </c>
      <c r="M8" s="39"/>
      <c r="N8" s="39"/>
      <c r="O8" s="39"/>
      <c r="P8" s="39"/>
      <c r="Q8" s="39"/>
      <c r="R8" s="39"/>
      <c r="S8" s="39"/>
    </row>
    <row r="9" spans="1:19" x14ac:dyDescent="0.3">
      <c r="A9">
        <v>29.3</v>
      </c>
      <c r="M9" s="39"/>
      <c r="N9" s="39"/>
      <c r="O9" s="39"/>
      <c r="P9" s="39"/>
      <c r="Q9" s="39"/>
      <c r="R9" s="39"/>
      <c r="S9" s="39"/>
    </row>
    <row r="10" spans="1:19" x14ac:dyDescent="0.3">
      <c r="A10">
        <v>25.1</v>
      </c>
      <c r="M10" s="39"/>
      <c r="N10" s="39"/>
      <c r="O10" s="39"/>
      <c r="P10" s="39"/>
      <c r="Q10" s="39"/>
      <c r="R10" s="39"/>
      <c r="S10" s="39"/>
    </row>
    <row r="11" spans="1:19" x14ac:dyDescent="0.3">
      <c r="A11">
        <v>19.5</v>
      </c>
      <c r="M11" s="39"/>
      <c r="N11" s="39"/>
      <c r="O11" s="39"/>
      <c r="P11" s="39"/>
      <c r="Q11" s="39"/>
      <c r="R11" s="39"/>
      <c r="S11" s="39"/>
    </row>
    <row r="12" spans="1:19" x14ac:dyDescent="0.3">
      <c r="A12">
        <v>24.1</v>
      </c>
    </row>
    <row r="13" spans="1:19" x14ac:dyDescent="0.3">
      <c r="A13">
        <v>23.4</v>
      </c>
    </row>
    <row r="14" spans="1:19" x14ac:dyDescent="0.3">
      <c r="A14">
        <v>20.3</v>
      </c>
    </row>
    <row r="15" spans="1:19" x14ac:dyDescent="0.3">
      <c r="A15">
        <v>31.1</v>
      </c>
    </row>
    <row r="16" spans="1:19" x14ac:dyDescent="0.3">
      <c r="A16">
        <v>23.6</v>
      </c>
    </row>
    <row r="17" spans="1:5" x14ac:dyDescent="0.3">
      <c r="A17">
        <v>22.1</v>
      </c>
    </row>
    <row r="18" spans="1:5" x14ac:dyDescent="0.3">
      <c r="A18">
        <v>27.4</v>
      </c>
      <c r="D18" s="5" t="s">
        <v>40</v>
      </c>
      <c r="E18" s="6">
        <f>E19-E20</f>
        <v>8</v>
      </c>
    </row>
    <row r="19" spans="1:5" x14ac:dyDescent="0.3">
      <c r="A19">
        <v>29.6</v>
      </c>
      <c r="D19" s="5" t="s">
        <v>37</v>
      </c>
      <c r="E19" s="6">
        <f>_xlfn.QUARTILE.EXC(A:A,3)</f>
        <v>30.95</v>
      </c>
    </row>
    <row r="20" spans="1:5" x14ac:dyDescent="0.3">
      <c r="A20">
        <v>25.5</v>
      </c>
      <c r="D20" s="5" t="s">
        <v>38</v>
      </c>
      <c r="E20" s="6">
        <f>_xlfn.QUARTILE.EXC(A:A,1)</f>
        <v>22.95</v>
      </c>
    </row>
    <row r="21" spans="1:5" x14ac:dyDescent="0.3">
      <c r="A21">
        <v>33.799999999999997</v>
      </c>
      <c r="D21" s="5" t="s">
        <v>39</v>
      </c>
      <c r="E21" s="6">
        <f>E20-1.5*E18</f>
        <v>10.95</v>
      </c>
    </row>
    <row r="22" spans="1:5" x14ac:dyDescent="0.3">
      <c r="A22">
        <v>22.9</v>
      </c>
      <c r="D22" s="5" t="s">
        <v>41</v>
      </c>
      <c r="E22" s="6">
        <f>E19+1.5*E18</f>
        <v>42.95</v>
      </c>
    </row>
    <row r="23" spans="1:5" x14ac:dyDescent="0.3">
      <c r="A23">
        <v>23.4</v>
      </c>
    </row>
    <row r="24" spans="1:5" x14ac:dyDescent="0.3">
      <c r="A24">
        <v>19.600000000000001</v>
      </c>
    </row>
    <row r="25" spans="1:5" x14ac:dyDescent="0.3">
      <c r="A25">
        <v>28.1</v>
      </c>
    </row>
    <row r="26" spans="1:5" x14ac:dyDescent="0.3">
      <c r="A26">
        <v>23.7</v>
      </c>
    </row>
    <row r="27" spans="1:5" x14ac:dyDescent="0.3">
      <c r="A27">
        <v>33.9</v>
      </c>
    </row>
    <row r="28" spans="1:5" x14ac:dyDescent="0.3">
      <c r="A28">
        <v>32</v>
      </c>
    </row>
    <row r="29" spans="1:5" x14ac:dyDescent="0.3">
      <c r="A29">
        <v>24.2</v>
      </c>
    </row>
    <row r="30" spans="1:5" x14ac:dyDescent="0.3">
      <c r="A30">
        <v>34.700000000000003</v>
      </c>
    </row>
    <row r="31" spans="1:5" x14ac:dyDescent="0.3">
      <c r="A31">
        <v>28.1</v>
      </c>
    </row>
    <row r="32" spans="1:5" x14ac:dyDescent="0.3">
      <c r="A32">
        <v>20.2</v>
      </c>
    </row>
    <row r="33" spans="1:1" x14ac:dyDescent="0.3">
      <c r="A33">
        <v>32.799999999999997</v>
      </c>
    </row>
    <row r="34" spans="1:1" x14ac:dyDescent="0.3">
      <c r="A34">
        <v>23.5</v>
      </c>
    </row>
    <row r="35" spans="1:1" x14ac:dyDescent="0.3">
      <c r="A35">
        <v>34.700000000000003</v>
      </c>
    </row>
    <row r="36" spans="1:1" x14ac:dyDescent="0.3">
      <c r="A36">
        <v>30.5</v>
      </c>
    </row>
    <row r="37" spans="1:1" x14ac:dyDescent="0.3">
      <c r="A37">
        <v>27.1</v>
      </c>
    </row>
    <row r="38" spans="1:1" x14ac:dyDescent="0.3">
      <c r="A38">
        <v>23.6</v>
      </c>
    </row>
    <row r="39" spans="1:1" x14ac:dyDescent="0.3">
      <c r="A39">
        <v>27.9</v>
      </c>
    </row>
    <row r="40" spans="1:1" x14ac:dyDescent="0.3">
      <c r="A40">
        <v>25.8</v>
      </c>
    </row>
    <row r="41" spans="1:1" x14ac:dyDescent="0.3">
      <c r="A41">
        <v>31.8</v>
      </c>
    </row>
    <row r="42" spans="1:1" x14ac:dyDescent="0.3">
      <c r="A42">
        <v>30</v>
      </c>
    </row>
    <row r="43" spans="1:1" x14ac:dyDescent="0.3">
      <c r="A43">
        <v>27.7</v>
      </c>
    </row>
    <row r="44" spans="1:1" x14ac:dyDescent="0.3">
      <c r="A44">
        <v>25.9</v>
      </c>
    </row>
    <row r="45" spans="1:1" x14ac:dyDescent="0.3">
      <c r="A45">
        <v>25.8</v>
      </c>
    </row>
    <row r="46" spans="1:1" x14ac:dyDescent="0.3">
      <c r="A46">
        <v>21</v>
      </c>
    </row>
    <row r="47" spans="1:1" x14ac:dyDescent="0.3">
      <c r="A47">
        <v>34.1</v>
      </c>
    </row>
    <row r="48" spans="1:1" x14ac:dyDescent="0.3">
      <c r="A48">
        <v>22.1</v>
      </c>
    </row>
    <row r="49" spans="1:1" x14ac:dyDescent="0.3">
      <c r="A49">
        <v>27.3</v>
      </c>
    </row>
    <row r="50" spans="1:1" x14ac:dyDescent="0.3">
      <c r="A50">
        <v>22</v>
      </c>
    </row>
    <row r="51" spans="1:1" x14ac:dyDescent="0.3">
      <c r="A51">
        <v>22.2</v>
      </c>
    </row>
    <row r="52" spans="1:1" x14ac:dyDescent="0.3">
      <c r="A52">
        <v>20.399999999999999</v>
      </c>
    </row>
    <row r="53" spans="1:1" x14ac:dyDescent="0.3">
      <c r="A53">
        <v>28</v>
      </c>
    </row>
    <row r="54" spans="1:1" x14ac:dyDescent="0.3">
      <c r="A54">
        <v>31.4</v>
      </c>
    </row>
    <row r="55" spans="1:1" x14ac:dyDescent="0.3">
      <c r="A55">
        <v>29</v>
      </c>
    </row>
    <row r="56" spans="1:1" x14ac:dyDescent="0.3">
      <c r="A56">
        <v>32.1</v>
      </c>
    </row>
    <row r="57" spans="1:1" x14ac:dyDescent="0.3">
      <c r="A57">
        <v>19</v>
      </c>
    </row>
    <row r="58" spans="1:1" x14ac:dyDescent="0.3">
      <c r="A58">
        <v>18.7</v>
      </c>
    </row>
    <row r="59" spans="1:1" x14ac:dyDescent="0.3">
      <c r="A59">
        <v>31.6</v>
      </c>
    </row>
    <row r="60" spans="1:1" x14ac:dyDescent="0.3">
      <c r="A60">
        <v>34.9</v>
      </c>
    </row>
    <row r="61" spans="1:1" x14ac:dyDescent="0.3">
      <c r="A61">
        <v>34.200000000000003</v>
      </c>
    </row>
    <row r="62" spans="1:1" x14ac:dyDescent="0.3">
      <c r="A62">
        <v>23.4</v>
      </c>
    </row>
    <row r="63" spans="1:1" x14ac:dyDescent="0.3">
      <c r="A63">
        <v>34.1</v>
      </c>
    </row>
    <row r="64" spans="1:1" x14ac:dyDescent="0.3">
      <c r="A64">
        <v>20.399999999999999</v>
      </c>
    </row>
    <row r="65" spans="1:1" x14ac:dyDescent="0.3">
      <c r="A65">
        <v>34.9</v>
      </c>
    </row>
    <row r="66" spans="1:1" x14ac:dyDescent="0.3">
      <c r="A66">
        <v>34.799999999999997</v>
      </c>
    </row>
    <row r="67" spans="1:1" x14ac:dyDescent="0.3">
      <c r="A67">
        <v>22.5</v>
      </c>
    </row>
    <row r="68" spans="1:1" x14ac:dyDescent="0.3">
      <c r="A68">
        <v>23.2</v>
      </c>
    </row>
    <row r="69" spans="1:1" x14ac:dyDescent="0.3">
      <c r="A69">
        <v>21</v>
      </c>
    </row>
    <row r="70" spans="1:1" x14ac:dyDescent="0.3">
      <c r="A70">
        <v>26.2</v>
      </c>
    </row>
    <row r="71" spans="1:1" x14ac:dyDescent="0.3">
      <c r="A71">
        <v>22.6</v>
      </c>
    </row>
    <row r="72" spans="1:1" x14ac:dyDescent="0.3">
      <c r="A72">
        <v>29.2</v>
      </c>
    </row>
    <row r="73" spans="1:1" x14ac:dyDescent="0.3">
      <c r="A73">
        <v>29.6</v>
      </c>
    </row>
    <row r="74" spans="1:1" x14ac:dyDescent="0.3">
      <c r="A74">
        <v>22.7</v>
      </c>
    </row>
    <row r="75" spans="1:1" x14ac:dyDescent="0.3">
      <c r="A75">
        <v>31</v>
      </c>
    </row>
    <row r="76" spans="1:1" x14ac:dyDescent="0.3">
      <c r="A76">
        <v>34.6</v>
      </c>
    </row>
    <row r="77" spans="1:1" x14ac:dyDescent="0.3">
      <c r="A77">
        <v>32.200000000000003</v>
      </c>
    </row>
    <row r="78" spans="1:1" x14ac:dyDescent="0.3">
      <c r="A78">
        <v>21.6</v>
      </c>
    </row>
    <row r="79" spans="1:1" x14ac:dyDescent="0.3">
      <c r="A79">
        <v>28.1</v>
      </c>
    </row>
    <row r="80" spans="1:1" x14ac:dyDescent="0.3">
      <c r="A80">
        <v>34.700000000000003</v>
      </c>
    </row>
    <row r="81" spans="1:1" x14ac:dyDescent="0.3">
      <c r="A81">
        <v>34.4</v>
      </c>
    </row>
    <row r="82" spans="1:1" x14ac:dyDescent="0.3">
      <c r="A82">
        <v>34.5</v>
      </c>
    </row>
    <row r="83" spans="1:1" x14ac:dyDescent="0.3">
      <c r="A83">
        <v>28.8</v>
      </c>
    </row>
    <row r="84" spans="1:1" x14ac:dyDescent="0.3">
      <c r="A84">
        <v>31</v>
      </c>
    </row>
    <row r="85" spans="1:1" x14ac:dyDescent="0.3">
      <c r="A85">
        <v>25.6</v>
      </c>
    </row>
    <row r="86" spans="1:1" x14ac:dyDescent="0.3">
      <c r="A86">
        <v>33.6</v>
      </c>
    </row>
    <row r="87" spans="1:1" x14ac:dyDescent="0.3">
      <c r="A87">
        <v>25.8</v>
      </c>
    </row>
    <row r="88" spans="1:1" x14ac:dyDescent="0.3">
      <c r="A88">
        <v>24.8</v>
      </c>
    </row>
    <row r="89" spans="1:1" x14ac:dyDescent="0.3">
      <c r="A89">
        <v>30.8</v>
      </c>
    </row>
    <row r="90" spans="1:1" x14ac:dyDescent="0.3">
      <c r="A90">
        <v>20.100000000000001</v>
      </c>
    </row>
    <row r="91" spans="1:1" x14ac:dyDescent="0.3">
      <c r="A91">
        <v>21.8</v>
      </c>
    </row>
    <row r="92" spans="1:1" x14ac:dyDescent="0.3">
      <c r="A92">
        <v>20.8</v>
      </c>
    </row>
    <row r="93" spans="1:1" x14ac:dyDescent="0.3">
      <c r="A93">
        <v>29.6</v>
      </c>
    </row>
    <row r="94" spans="1:1" x14ac:dyDescent="0.3">
      <c r="A94">
        <v>19.5</v>
      </c>
    </row>
    <row r="95" spans="1:1" x14ac:dyDescent="0.3">
      <c r="A95">
        <v>33.1</v>
      </c>
    </row>
    <row r="96" spans="1:1" x14ac:dyDescent="0.3">
      <c r="A96">
        <v>29.3</v>
      </c>
    </row>
    <row r="97" spans="1:1" x14ac:dyDescent="0.3">
      <c r="A97">
        <v>24.6</v>
      </c>
    </row>
    <row r="98" spans="1:1" x14ac:dyDescent="0.3">
      <c r="A98">
        <v>31.5</v>
      </c>
    </row>
    <row r="99" spans="1:1" x14ac:dyDescent="0.3">
      <c r="A99">
        <v>31.3</v>
      </c>
    </row>
    <row r="100" spans="1:1" x14ac:dyDescent="0.3">
      <c r="A100">
        <v>24.4</v>
      </c>
    </row>
    <row r="101" spans="1:1" x14ac:dyDescent="0.3">
      <c r="A101">
        <v>25.9</v>
      </c>
    </row>
    <row r="102" spans="1:1" x14ac:dyDescent="0.3">
      <c r="A102">
        <v>29.1</v>
      </c>
    </row>
    <row r="103" spans="1:1" x14ac:dyDescent="0.3">
      <c r="A103">
        <v>28.5</v>
      </c>
    </row>
    <row r="104" spans="1:1" x14ac:dyDescent="0.3">
      <c r="A104">
        <v>26.8</v>
      </c>
    </row>
    <row r="105" spans="1:1" x14ac:dyDescent="0.3">
      <c r="A105">
        <v>25.3</v>
      </c>
    </row>
    <row r="106" spans="1:1" x14ac:dyDescent="0.3">
      <c r="A106">
        <v>33.700000000000003</v>
      </c>
    </row>
    <row r="107" spans="1:1" x14ac:dyDescent="0.3">
      <c r="A107">
        <v>20.5</v>
      </c>
    </row>
    <row r="108" spans="1:1" x14ac:dyDescent="0.3">
      <c r="A108">
        <v>26.5</v>
      </c>
    </row>
    <row r="109" spans="1:1" x14ac:dyDescent="0.3">
      <c r="A109">
        <v>33.799999999999997</v>
      </c>
    </row>
    <row r="110" spans="1:1" x14ac:dyDescent="0.3">
      <c r="A110">
        <v>29.3</v>
      </c>
    </row>
    <row r="111" spans="1:1" x14ac:dyDescent="0.3">
      <c r="A111">
        <v>23.6</v>
      </c>
    </row>
    <row r="112" spans="1:1" x14ac:dyDescent="0.3">
      <c r="A112">
        <v>25.5</v>
      </c>
    </row>
    <row r="113" spans="1:1" x14ac:dyDescent="0.3">
      <c r="A113">
        <v>29.5</v>
      </c>
    </row>
    <row r="114" spans="1:1" x14ac:dyDescent="0.3">
      <c r="A114">
        <v>20.5</v>
      </c>
    </row>
    <row r="115" spans="1:1" x14ac:dyDescent="0.3">
      <c r="A115">
        <v>25.1</v>
      </c>
    </row>
    <row r="116" spans="1:1" x14ac:dyDescent="0.3">
      <c r="A116">
        <v>20.399999999999999</v>
      </c>
    </row>
    <row r="117" spans="1:1" x14ac:dyDescent="0.3">
      <c r="A117">
        <v>28.2</v>
      </c>
    </row>
    <row r="118" spans="1:1" x14ac:dyDescent="0.3">
      <c r="A118">
        <v>26.9</v>
      </c>
    </row>
    <row r="119" spans="1:1" x14ac:dyDescent="0.3">
      <c r="A119">
        <v>34.200000000000003</v>
      </c>
    </row>
    <row r="120" spans="1:1" x14ac:dyDescent="0.3">
      <c r="A120">
        <v>23.7</v>
      </c>
    </row>
    <row r="121" spans="1:1" x14ac:dyDescent="0.3">
      <c r="A121">
        <v>26.1</v>
      </c>
    </row>
    <row r="122" spans="1:1" x14ac:dyDescent="0.3">
      <c r="A122">
        <v>28.1</v>
      </c>
    </row>
    <row r="123" spans="1:1" x14ac:dyDescent="0.3">
      <c r="A123">
        <v>31.9</v>
      </c>
    </row>
    <row r="124" spans="1:1" x14ac:dyDescent="0.3">
      <c r="A124">
        <v>24.7</v>
      </c>
    </row>
    <row r="125" spans="1:1" x14ac:dyDescent="0.3">
      <c r="A125">
        <v>22.7</v>
      </c>
    </row>
    <row r="126" spans="1:1" x14ac:dyDescent="0.3">
      <c r="A126">
        <v>28.3</v>
      </c>
    </row>
    <row r="127" spans="1:1" x14ac:dyDescent="0.3">
      <c r="A127">
        <v>29.6</v>
      </c>
    </row>
    <row r="128" spans="1:1" x14ac:dyDescent="0.3">
      <c r="A128">
        <v>19.8</v>
      </c>
    </row>
    <row r="129" spans="1:1" x14ac:dyDescent="0.3">
      <c r="A129">
        <v>19.2</v>
      </c>
    </row>
    <row r="130" spans="1:1" x14ac:dyDescent="0.3">
      <c r="A130">
        <v>33.4</v>
      </c>
    </row>
    <row r="131" spans="1:1" x14ac:dyDescent="0.3">
      <c r="A131">
        <v>31.7</v>
      </c>
    </row>
    <row r="132" spans="1:1" x14ac:dyDescent="0.3">
      <c r="A132">
        <v>19.899999999999999</v>
      </c>
    </row>
    <row r="133" spans="1:1" x14ac:dyDescent="0.3">
      <c r="A133">
        <v>19.399999999999999</v>
      </c>
    </row>
    <row r="134" spans="1:1" x14ac:dyDescent="0.3">
      <c r="A134">
        <v>20.8</v>
      </c>
    </row>
    <row r="135" spans="1:1" x14ac:dyDescent="0.3">
      <c r="A135">
        <v>27.6</v>
      </c>
    </row>
    <row r="136" spans="1:1" x14ac:dyDescent="0.3">
      <c r="A136">
        <v>20.3</v>
      </c>
    </row>
    <row r="137" spans="1:1" x14ac:dyDescent="0.3">
      <c r="A137">
        <v>27.9</v>
      </c>
    </row>
    <row r="138" spans="1:1" x14ac:dyDescent="0.3">
      <c r="A138">
        <v>32.9</v>
      </c>
    </row>
    <row r="139" spans="1:1" x14ac:dyDescent="0.3">
      <c r="A139">
        <v>30.6</v>
      </c>
    </row>
    <row r="140" spans="1:1" x14ac:dyDescent="0.3">
      <c r="A140">
        <v>21.5</v>
      </c>
    </row>
    <row r="141" spans="1:1" x14ac:dyDescent="0.3">
      <c r="A141">
        <v>26.3</v>
      </c>
    </row>
    <row r="142" spans="1:1" x14ac:dyDescent="0.3">
      <c r="A142">
        <v>30.8</v>
      </c>
    </row>
    <row r="143" spans="1:1" x14ac:dyDescent="0.3">
      <c r="A143">
        <v>25.6</v>
      </c>
    </row>
    <row r="144" spans="1:1" x14ac:dyDescent="0.3">
      <c r="A144">
        <v>29.9</v>
      </c>
    </row>
    <row r="145" spans="1:1" x14ac:dyDescent="0.3">
      <c r="A145">
        <v>29</v>
      </c>
    </row>
    <row r="146" spans="1:1" x14ac:dyDescent="0.3">
      <c r="A146">
        <v>24.5</v>
      </c>
    </row>
    <row r="147" spans="1:1" x14ac:dyDescent="0.3">
      <c r="A147">
        <v>24.6</v>
      </c>
    </row>
    <row r="148" spans="1:1" x14ac:dyDescent="0.3">
      <c r="A148">
        <v>31.3</v>
      </c>
    </row>
    <row r="149" spans="1:1" x14ac:dyDescent="0.3">
      <c r="A149">
        <v>21.3</v>
      </c>
    </row>
    <row r="150" spans="1:1" x14ac:dyDescent="0.3">
      <c r="A150">
        <v>30.2</v>
      </c>
    </row>
    <row r="151" spans="1:1" x14ac:dyDescent="0.3">
      <c r="A151">
        <v>27.9</v>
      </c>
    </row>
    <row r="152" spans="1:1" x14ac:dyDescent="0.3">
      <c r="A152">
        <v>34.5</v>
      </c>
    </row>
    <row r="153" spans="1:1" x14ac:dyDescent="0.3">
      <c r="A153">
        <v>26.8</v>
      </c>
    </row>
    <row r="154" spans="1:1" x14ac:dyDescent="0.3">
      <c r="A154">
        <v>22.6</v>
      </c>
    </row>
    <row r="155" spans="1:1" x14ac:dyDescent="0.3">
      <c r="A155">
        <v>28.8</v>
      </c>
    </row>
    <row r="156" spans="1:1" x14ac:dyDescent="0.3">
      <c r="A156">
        <v>29</v>
      </c>
    </row>
    <row r="157" spans="1:1" x14ac:dyDescent="0.3">
      <c r="A157">
        <v>25.8</v>
      </c>
    </row>
    <row r="158" spans="1:1" x14ac:dyDescent="0.3">
      <c r="A158">
        <v>27</v>
      </c>
    </row>
    <row r="159" spans="1:1" x14ac:dyDescent="0.3">
      <c r="A159">
        <v>32.799999999999997</v>
      </c>
    </row>
    <row r="160" spans="1:1" x14ac:dyDescent="0.3">
      <c r="A160">
        <v>33</v>
      </c>
    </row>
    <row r="161" spans="1:1" x14ac:dyDescent="0.3">
      <c r="A161">
        <v>23.1</v>
      </c>
    </row>
    <row r="162" spans="1:1" x14ac:dyDescent="0.3">
      <c r="A162">
        <v>25.1</v>
      </c>
    </row>
    <row r="163" spans="1:1" x14ac:dyDescent="0.3">
      <c r="A163">
        <v>34.6</v>
      </c>
    </row>
    <row r="164" spans="1:1" x14ac:dyDescent="0.3">
      <c r="A164">
        <v>19.100000000000001</v>
      </c>
    </row>
    <row r="165" spans="1:1" x14ac:dyDescent="0.3">
      <c r="A165">
        <v>25</v>
      </c>
    </row>
    <row r="166" spans="1:1" x14ac:dyDescent="0.3">
      <c r="A166">
        <v>29.6</v>
      </c>
    </row>
    <row r="167" spans="1:1" x14ac:dyDescent="0.3">
      <c r="A167">
        <v>26.4</v>
      </c>
    </row>
    <row r="168" spans="1:1" x14ac:dyDescent="0.3">
      <c r="A168">
        <v>21</v>
      </c>
    </row>
    <row r="169" spans="1:1" x14ac:dyDescent="0.3">
      <c r="A169">
        <v>23.9</v>
      </c>
    </row>
    <row r="170" spans="1:1" x14ac:dyDescent="0.3">
      <c r="A170">
        <v>26.5</v>
      </c>
    </row>
    <row r="171" spans="1:1" x14ac:dyDescent="0.3">
      <c r="A171">
        <v>26.4</v>
      </c>
    </row>
    <row r="172" spans="1:1" x14ac:dyDescent="0.3">
      <c r="A172">
        <v>34.299999999999997</v>
      </c>
    </row>
    <row r="173" spans="1:1" x14ac:dyDescent="0.3">
      <c r="A173">
        <v>20.3</v>
      </c>
    </row>
    <row r="174" spans="1:1" x14ac:dyDescent="0.3">
      <c r="A174">
        <v>26.3</v>
      </c>
    </row>
    <row r="175" spans="1:1" x14ac:dyDescent="0.3">
      <c r="A175">
        <v>23.2</v>
      </c>
    </row>
    <row r="176" spans="1:1" x14ac:dyDescent="0.3">
      <c r="A176">
        <v>31.5</v>
      </c>
    </row>
    <row r="177" spans="1:1" x14ac:dyDescent="0.3">
      <c r="A177">
        <v>32.5</v>
      </c>
    </row>
    <row r="178" spans="1:1" x14ac:dyDescent="0.3">
      <c r="A178">
        <v>30.7</v>
      </c>
    </row>
    <row r="179" spans="1:1" x14ac:dyDescent="0.3">
      <c r="A179">
        <v>20.100000000000001</v>
      </c>
    </row>
    <row r="180" spans="1:1" x14ac:dyDescent="0.3">
      <c r="A180">
        <v>30.4</v>
      </c>
    </row>
    <row r="181" spans="1:1" x14ac:dyDescent="0.3">
      <c r="A181">
        <v>26.8</v>
      </c>
    </row>
    <row r="182" spans="1:1" x14ac:dyDescent="0.3">
      <c r="A182">
        <v>30.1</v>
      </c>
    </row>
    <row r="183" spans="1:1" x14ac:dyDescent="0.3">
      <c r="A183">
        <v>33.6</v>
      </c>
    </row>
    <row r="184" spans="1:1" x14ac:dyDescent="0.3">
      <c r="A184">
        <v>29.7</v>
      </c>
    </row>
    <row r="185" spans="1:1" x14ac:dyDescent="0.3">
      <c r="A185">
        <v>26.1</v>
      </c>
    </row>
    <row r="186" spans="1:1" x14ac:dyDescent="0.3">
      <c r="A186">
        <v>19.600000000000001</v>
      </c>
    </row>
    <row r="187" spans="1:1" x14ac:dyDescent="0.3">
      <c r="A187">
        <v>34.9</v>
      </c>
    </row>
    <row r="188" spans="1:1" x14ac:dyDescent="0.3">
      <c r="A188">
        <v>34.9</v>
      </c>
    </row>
    <row r="189" spans="1:1" x14ac:dyDescent="0.3">
      <c r="A189">
        <v>24.8</v>
      </c>
    </row>
    <row r="190" spans="1:1" x14ac:dyDescent="0.3">
      <c r="A190">
        <v>21.9</v>
      </c>
    </row>
    <row r="191" spans="1:1" x14ac:dyDescent="0.3">
      <c r="A191">
        <v>22.4</v>
      </c>
    </row>
    <row r="192" spans="1:1" x14ac:dyDescent="0.3">
      <c r="A192">
        <v>23.5</v>
      </c>
    </row>
    <row r="193" spans="1:1" x14ac:dyDescent="0.3">
      <c r="A193">
        <v>26.7</v>
      </c>
    </row>
    <row r="194" spans="1:1" x14ac:dyDescent="0.3">
      <c r="A194">
        <v>32.5</v>
      </c>
    </row>
    <row r="195" spans="1:1" x14ac:dyDescent="0.3">
      <c r="A195">
        <v>22.7</v>
      </c>
    </row>
    <row r="196" spans="1:1" x14ac:dyDescent="0.3">
      <c r="A196">
        <v>21.6</v>
      </c>
    </row>
    <row r="197" spans="1:1" x14ac:dyDescent="0.3">
      <c r="A197">
        <v>33.6</v>
      </c>
    </row>
    <row r="198" spans="1:1" x14ac:dyDescent="0.3">
      <c r="A198">
        <v>22.8</v>
      </c>
    </row>
    <row r="199" spans="1:1" x14ac:dyDescent="0.3">
      <c r="A199">
        <v>27.8</v>
      </c>
    </row>
    <row r="200" spans="1:1" x14ac:dyDescent="0.3">
      <c r="A200">
        <v>23.9</v>
      </c>
    </row>
    <row r="201" spans="1:1" x14ac:dyDescent="0.3">
      <c r="A201">
        <v>21.3</v>
      </c>
    </row>
  </sheetData>
  <mergeCells count="1">
    <mergeCell ref="M3:S11"/>
  </mergeCells>
  <conditionalFormatting sqref="A1:A1048576">
    <cfRule type="cellIs" dxfId="1" priority="1" operator="lessThan">
      <formula>$E$21</formula>
    </cfRule>
    <cfRule type="cellIs" dxfId="0" priority="2" operator="greaterThan">
      <formula>$E$22</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AD2F-99BB-4F86-8B7D-EB59304FBE09}">
  <dimension ref="A2:K6"/>
  <sheetViews>
    <sheetView workbookViewId="0">
      <selection activeCell="A4" sqref="A4"/>
    </sheetView>
  </sheetViews>
  <sheetFormatPr defaultRowHeight="14.4" x14ac:dyDescent="0.3"/>
  <cols>
    <col min="1" max="1" width="20.109375" bestFit="1" customWidth="1"/>
    <col min="2" max="2" width="13.44140625" bestFit="1" customWidth="1"/>
  </cols>
  <sheetData>
    <row r="2" spans="1:11" x14ac:dyDescent="0.3">
      <c r="G2" s="40" t="s">
        <v>49</v>
      </c>
      <c r="H2" s="35"/>
      <c r="I2" s="35"/>
      <c r="J2" s="35"/>
      <c r="K2" s="35"/>
    </row>
    <row r="3" spans="1:11" x14ac:dyDescent="0.3">
      <c r="A3" s="1" t="s">
        <v>36</v>
      </c>
      <c r="B3" t="s">
        <v>27</v>
      </c>
      <c r="G3" s="35"/>
      <c r="H3" s="35"/>
      <c r="I3" s="35"/>
      <c r="J3" s="35"/>
      <c r="K3" s="35"/>
    </row>
    <row r="4" spans="1:11" x14ac:dyDescent="0.3">
      <c r="A4" s="2" t="s">
        <v>8</v>
      </c>
      <c r="B4">
        <v>9959</v>
      </c>
      <c r="G4" s="35"/>
      <c r="H4" s="35"/>
      <c r="I4" s="35"/>
      <c r="J4" s="35"/>
      <c r="K4" s="35"/>
    </row>
    <row r="5" spans="1:11" x14ac:dyDescent="0.3">
      <c r="A5" s="2" t="s">
        <v>4</v>
      </c>
      <c r="B5">
        <v>10141</v>
      </c>
      <c r="G5" s="35"/>
      <c r="H5" s="35"/>
      <c r="I5" s="35"/>
      <c r="J5" s="35"/>
      <c r="K5" s="35"/>
    </row>
    <row r="6" spans="1:11" x14ac:dyDescent="0.3">
      <c r="A6" s="2" t="s">
        <v>25</v>
      </c>
      <c r="B6">
        <v>20100</v>
      </c>
      <c r="G6" s="35"/>
      <c r="H6" s="35"/>
      <c r="I6" s="35"/>
      <c r="J6" s="35"/>
      <c r="K6" s="35"/>
    </row>
  </sheetData>
  <mergeCells count="1">
    <mergeCell ref="G2:K6"/>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8400-9719-4387-A0D0-17C284DCFB2F}">
  <dimension ref="A1:K22"/>
  <sheetViews>
    <sheetView workbookViewId="0">
      <selection activeCell="M21" sqref="M21"/>
    </sheetView>
  </sheetViews>
  <sheetFormatPr defaultRowHeight="14.4" x14ac:dyDescent="0.3"/>
  <cols>
    <col min="1" max="1" width="25" customWidth="1"/>
  </cols>
  <sheetData>
    <row r="1" spans="1:11" x14ac:dyDescent="0.3">
      <c r="A1" t="s">
        <v>42</v>
      </c>
      <c r="B1">
        <f>AVERAGE(PCOD_Health_Lifestyle!J:J)</f>
        <v>7.03</v>
      </c>
    </row>
    <row r="2" spans="1:11" x14ac:dyDescent="0.3">
      <c r="A2" t="s">
        <v>43</v>
      </c>
      <c r="B2">
        <f>MEDIAN(PCOD_Health_Lifestyle!J:J)</f>
        <v>7</v>
      </c>
    </row>
    <row r="3" spans="1:11" x14ac:dyDescent="0.3">
      <c r="A3" t="s">
        <v>44</v>
      </c>
      <c r="B3">
        <f>MODE(PCOD_Health_Lifestyle!J:J)</f>
        <v>5</v>
      </c>
    </row>
    <row r="4" spans="1:11" x14ac:dyDescent="0.3">
      <c r="A4" t="s">
        <v>45</v>
      </c>
      <c r="B4">
        <f>_xlfn.VAR.P(PCOD_Health_Lifestyle!J:J)</f>
        <v>2.2090999999999998</v>
      </c>
    </row>
    <row r="5" spans="1:11" x14ac:dyDescent="0.3">
      <c r="A5" t="s">
        <v>46</v>
      </c>
      <c r="B5">
        <f>SQRT(B4)</f>
        <v>1.4863041411501214</v>
      </c>
    </row>
    <row r="6" spans="1:11" x14ac:dyDescent="0.3">
      <c r="C6" s="7"/>
      <c r="D6" s="7"/>
      <c r="E6" s="7"/>
      <c r="F6" s="7"/>
      <c r="G6" s="7"/>
      <c r="H6" s="7"/>
      <c r="I6" s="7"/>
      <c r="J6" s="7"/>
      <c r="K6" s="7"/>
    </row>
    <row r="7" spans="1:11" x14ac:dyDescent="0.3">
      <c r="C7" s="7"/>
      <c r="D7" s="7"/>
      <c r="E7" s="7"/>
      <c r="F7" s="7"/>
      <c r="G7" s="7"/>
      <c r="H7" s="7"/>
      <c r="I7" s="7"/>
      <c r="J7" s="7"/>
      <c r="K7" s="7"/>
    </row>
    <row r="8" spans="1:11" x14ac:dyDescent="0.3">
      <c r="C8" s="7"/>
      <c r="D8" s="7"/>
      <c r="E8" s="7"/>
      <c r="F8" s="7"/>
      <c r="G8" s="7"/>
      <c r="H8" s="7"/>
      <c r="I8" s="7"/>
      <c r="J8" s="7"/>
      <c r="K8" s="7"/>
    </row>
    <row r="9" spans="1:11" x14ac:dyDescent="0.3">
      <c r="C9" s="7"/>
      <c r="D9" s="7"/>
      <c r="E9" s="7"/>
      <c r="F9" s="7"/>
      <c r="G9" s="7"/>
      <c r="H9" s="7"/>
      <c r="I9" s="7"/>
      <c r="J9" s="7"/>
      <c r="K9" s="7"/>
    </row>
    <row r="10" spans="1:11" x14ac:dyDescent="0.3">
      <c r="C10" s="7"/>
      <c r="D10" s="7"/>
      <c r="E10" s="7"/>
      <c r="F10" s="7"/>
      <c r="G10" s="7"/>
      <c r="H10" s="7"/>
      <c r="I10" s="7"/>
      <c r="J10" s="7"/>
      <c r="K10" s="7"/>
    </row>
    <row r="11" spans="1:11" x14ac:dyDescent="0.3">
      <c r="C11" s="7"/>
      <c r="D11" s="7"/>
      <c r="E11" s="7"/>
      <c r="F11" s="7"/>
      <c r="G11" s="7"/>
      <c r="H11" s="7"/>
      <c r="I11" s="7"/>
      <c r="J11" s="7"/>
      <c r="K11" s="7"/>
    </row>
    <row r="12" spans="1:11" x14ac:dyDescent="0.3">
      <c r="C12" s="7"/>
      <c r="D12" s="7"/>
      <c r="E12" s="7"/>
      <c r="F12" s="7"/>
      <c r="G12" s="7"/>
      <c r="H12" s="7"/>
      <c r="I12" s="7"/>
      <c r="J12" s="7"/>
      <c r="K12" s="7"/>
    </row>
    <row r="13" spans="1:11" x14ac:dyDescent="0.3">
      <c r="C13" s="7"/>
      <c r="D13" s="7"/>
      <c r="E13" s="7"/>
      <c r="F13" s="7"/>
      <c r="G13" s="7"/>
      <c r="H13" s="7"/>
      <c r="I13" s="7"/>
      <c r="J13" s="7"/>
      <c r="K13" s="7"/>
    </row>
    <row r="14" spans="1:11" x14ac:dyDescent="0.3">
      <c r="C14" s="7"/>
      <c r="D14" s="7"/>
      <c r="E14" s="7"/>
      <c r="F14" s="7"/>
      <c r="G14" s="7"/>
      <c r="H14" s="7"/>
      <c r="I14" s="7"/>
      <c r="J14" s="7"/>
      <c r="K14" s="7"/>
    </row>
    <row r="15" spans="1:11" x14ac:dyDescent="0.3">
      <c r="C15" s="7"/>
      <c r="D15" s="7"/>
      <c r="E15" s="7"/>
      <c r="F15" s="7"/>
      <c r="G15" s="7"/>
      <c r="H15" s="7"/>
      <c r="I15" s="7"/>
      <c r="J15" s="7"/>
      <c r="K15" s="7"/>
    </row>
    <row r="16" spans="1:11" x14ac:dyDescent="0.3">
      <c r="C16" s="7"/>
      <c r="D16" s="7"/>
      <c r="E16" s="7"/>
      <c r="F16" s="7"/>
      <c r="G16" s="7"/>
      <c r="H16" s="7"/>
      <c r="I16" s="7"/>
      <c r="J16" s="7"/>
      <c r="K16" s="7"/>
    </row>
    <row r="17" spans="3:11" x14ac:dyDescent="0.3">
      <c r="C17" s="7"/>
      <c r="D17" s="7"/>
      <c r="E17" s="7"/>
      <c r="F17" s="7"/>
      <c r="G17" s="7"/>
      <c r="H17" s="7"/>
      <c r="I17" s="7"/>
      <c r="J17" s="7"/>
      <c r="K17" s="7"/>
    </row>
    <row r="18" spans="3:11" x14ac:dyDescent="0.3">
      <c r="C18" s="7"/>
      <c r="D18" s="7"/>
      <c r="E18" s="7"/>
      <c r="F18" s="7"/>
      <c r="G18" s="7"/>
      <c r="H18" s="7"/>
      <c r="I18" s="7"/>
      <c r="J18" s="7"/>
      <c r="K18" s="7"/>
    </row>
    <row r="19" spans="3:11" x14ac:dyDescent="0.3">
      <c r="C19" s="7"/>
      <c r="D19" s="7"/>
      <c r="E19" s="7"/>
      <c r="F19" s="7"/>
      <c r="G19" s="7"/>
      <c r="H19" s="7"/>
      <c r="I19" s="7"/>
      <c r="J19" s="7"/>
      <c r="K19" s="7"/>
    </row>
    <row r="20" spans="3:11" x14ac:dyDescent="0.3">
      <c r="C20" s="7"/>
      <c r="D20" s="7"/>
      <c r="E20" s="7"/>
      <c r="F20" s="7"/>
      <c r="G20" s="7"/>
      <c r="H20" s="7"/>
      <c r="I20" s="7"/>
      <c r="J20" s="7"/>
      <c r="K20" s="7"/>
    </row>
    <row r="21" spans="3:11" x14ac:dyDescent="0.3">
      <c r="C21" s="7"/>
      <c r="D21" s="7"/>
      <c r="E21" s="7"/>
      <c r="F21" s="7"/>
      <c r="G21" s="7"/>
      <c r="H21" s="7"/>
      <c r="I21" s="7"/>
      <c r="J21" s="7"/>
      <c r="K21" s="7"/>
    </row>
    <row r="22" spans="3:11" x14ac:dyDescent="0.3">
      <c r="C22" s="7"/>
      <c r="D22" s="7"/>
      <c r="E22" s="7"/>
      <c r="F22" s="7"/>
      <c r="G22" s="7"/>
      <c r="H22" s="7"/>
      <c r="I22" s="7"/>
      <c r="J22" s="7"/>
      <c r="K22" s="7"/>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E2847-10D3-4663-9EBE-486BA630941B}">
  <dimension ref="A3:B6"/>
  <sheetViews>
    <sheetView workbookViewId="0">
      <selection activeCell="M17" sqref="M17"/>
    </sheetView>
  </sheetViews>
  <sheetFormatPr defaultRowHeight="14.4" x14ac:dyDescent="0.3"/>
  <cols>
    <col min="1" max="1" width="12.44140625" bestFit="1" customWidth="1"/>
    <col min="2" max="2" width="14.5546875" bestFit="1" customWidth="1"/>
  </cols>
  <sheetData>
    <row r="3" spans="1:2" x14ac:dyDescent="0.3">
      <c r="A3" s="1" t="s">
        <v>24</v>
      </c>
      <c r="B3" t="s">
        <v>28</v>
      </c>
    </row>
    <row r="4" spans="1:2" x14ac:dyDescent="0.3">
      <c r="A4" s="2" t="s">
        <v>5</v>
      </c>
      <c r="B4">
        <v>104</v>
      </c>
    </row>
    <row r="5" spans="1:2" x14ac:dyDescent="0.3">
      <c r="A5" s="2" t="s">
        <v>0</v>
      </c>
      <c r="B5">
        <v>96</v>
      </c>
    </row>
    <row r="6" spans="1:2" x14ac:dyDescent="0.3">
      <c r="A6" s="2" t="s">
        <v>25</v>
      </c>
      <c r="B6">
        <v>200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8491F-8EBF-4161-A858-6FAEE6367E09}">
  <dimension ref="A3:B6"/>
  <sheetViews>
    <sheetView zoomScale="76" workbookViewId="0">
      <selection activeCell="H33" sqref="H33"/>
    </sheetView>
  </sheetViews>
  <sheetFormatPr defaultRowHeight="14.4" x14ac:dyDescent="0.3"/>
  <cols>
    <col min="1" max="1" width="13.44140625" bestFit="1" customWidth="1"/>
    <col min="2" max="2" width="14.109375" bestFit="1" customWidth="1"/>
  </cols>
  <sheetData>
    <row r="3" spans="1:2" x14ac:dyDescent="0.3">
      <c r="A3" s="1" t="s">
        <v>33</v>
      </c>
      <c r="B3" t="s">
        <v>27</v>
      </c>
    </row>
    <row r="4" spans="1:2" x14ac:dyDescent="0.3">
      <c r="A4" s="2" t="s">
        <v>5</v>
      </c>
      <c r="B4">
        <v>10857</v>
      </c>
    </row>
    <row r="5" spans="1:2" x14ac:dyDescent="0.3">
      <c r="A5" s="2" t="s">
        <v>0</v>
      </c>
      <c r="B5">
        <v>9243</v>
      </c>
    </row>
    <row r="6" spans="1:2" x14ac:dyDescent="0.3">
      <c r="A6" s="2" t="s">
        <v>25</v>
      </c>
      <c r="B6">
        <v>20100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PCOD_Health_Lifestyle</vt:lpstr>
      <vt:lpstr>dashboard 1</vt:lpstr>
      <vt:lpstr>objective 1</vt:lpstr>
      <vt:lpstr>objective2</vt:lpstr>
      <vt:lpstr>objective3</vt:lpstr>
      <vt:lpstr>objective 4</vt:lpstr>
      <vt:lpstr>objective 5</vt:lpstr>
      <vt:lpstr>objective 6</vt:lpstr>
      <vt:lpstr>slicer</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Pearl Sethi</dc:creator>
  <cp:lastModifiedBy>Pearl Sethi</cp:lastModifiedBy>
  <dcterms:created xsi:type="dcterms:W3CDTF">2025-12-29T09:31:27Z</dcterms:created>
  <dcterms:modified xsi:type="dcterms:W3CDTF">2026-01-02T06:00:00Z</dcterms:modified>
</cp:coreProperties>
</file>