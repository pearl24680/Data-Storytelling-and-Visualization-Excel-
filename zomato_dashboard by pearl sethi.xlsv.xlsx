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slicers/slicer1.xml" ContentType="application/vnd.ms-excel.slicer+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Pearl Sethi\Downloads\"/>
    </mc:Choice>
  </mc:AlternateContent>
  <xr:revisionPtr revIDLastSave="0" documentId="13_ncr:1_{0D43371F-D768-40B1-BADF-CA3E32ACA076}" xr6:coauthVersionLast="47" xr6:coauthVersionMax="47" xr10:uidLastSave="{00000000-0000-0000-0000-000000000000}"/>
  <bookViews>
    <workbookView xWindow="-108" yWindow="-108" windowWidth="23256" windowHeight="12456" firstSheet="3" activeTab="6" xr2:uid="{00000000-000D-0000-FFFF-FFFF00000000}"/>
  </bookViews>
  <sheets>
    <sheet name="dataset" sheetId="1" r:id="rId1"/>
    <sheet name="obj 1" sheetId="2" r:id="rId2"/>
    <sheet name="obj2" sheetId="4" r:id="rId3"/>
    <sheet name="obj3" sheetId="5" r:id="rId4"/>
    <sheet name="obj4" sheetId="6" r:id="rId5"/>
    <sheet name="obj5" sheetId="7" r:id="rId6"/>
    <sheet name="DASHBOARD" sheetId="8" r:id="rId7"/>
    <sheet name="Sheet9" sheetId="9" r:id="rId8"/>
  </sheets>
  <definedNames>
    <definedName name="_xlchart.v1.0" hidden="1">'obj5'!$A$1</definedName>
    <definedName name="_xlchart.v1.1" hidden="1">'obj5'!$A$2:$A$81</definedName>
    <definedName name="_xlchart.v1.2" hidden="1">'obj5'!$A$1</definedName>
    <definedName name="_xlchart.v1.3" hidden="1">'obj5'!$A$2:$A$81</definedName>
    <definedName name="_xlchart.v1.4" hidden="1">'obj5'!$A$1</definedName>
    <definedName name="_xlchart.v1.5" hidden="1">'obj5'!$A$2:$A$81</definedName>
    <definedName name="Slicer_City">#N/A</definedName>
    <definedName name="Slicer_Cuisine">#N/A</definedName>
    <definedName name="Slicer_OrderType">#N/A</definedName>
    <definedName name="Slicer_Status">#N/A</definedName>
  </definedNames>
  <calcPr calcId="191029"/>
  <pivotCaches>
    <pivotCache cacheId="24"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7" l="1"/>
  <c r="E6" i="7"/>
  <c r="E4" i="7"/>
  <c r="E3" i="7"/>
  <c r="E2" i="7"/>
</calcChain>
</file>

<file path=xl/sharedStrings.xml><?xml version="1.0" encoding="utf-8"?>
<sst xmlns="http://schemas.openxmlformats.org/spreadsheetml/2006/main" count="612" uniqueCount="117">
  <si>
    <t>OrderID</t>
  </si>
  <si>
    <t>Date</t>
  </si>
  <si>
    <t>City</t>
  </si>
  <si>
    <t>Restaurant</t>
  </si>
  <si>
    <t>Cuisine</t>
  </si>
  <si>
    <t>OrderType</t>
  </si>
  <si>
    <t>Items</t>
  </si>
  <si>
    <t>OrderValue</t>
  </si>
  <si>
    <t>Discount</t>
  </si>
  <si>
    <t>DeliveryTime(min)</t>
  </si>
  <si>
    <t>Rating</t>
  </si>
  <si>
    <t>Status</t>
  </si>
  <si>
    <t>2025-01-19</t>
  </si>
  <si>
    <t>2025-01-23</t>
  </si>
  <si>
    <t>2025-01-03</t>
  </si>
  <si>
    <t>2025-03-05</t>
  </si>
  <si>
    <t>2025-03-16</t>
  </si>
  <si>
    <t>2025-03-26</t>
  </si>
  <si>
    <t>2025-02-15</t>
  </si>
  <si>
    <t>2025-01-15</t>
  </si>
  <si>
    <t>2025-02-20</t>
  </si>
  <si>
    <t>2025-04-05</t>
  </si>
  <si>
    <t>2025-04-14</t>
  </si>
  <si>
    <t>2025-01-09</t>
  </si>
  <si>
    <t>2025-02-11</t>
  </si>
  <si>
    <t>2025-04-06</t>
  </si>
  <si>
    <t>2025-04-27</t>
  </si>
  <si>
    <t>2025-04-24</t>
  </si>
  <si>
    <t>2025-04-20</t>
  </si>
  <si>
    <t>2025-01-20</t>
  </si>
  <si>
    <t>2025-03-13</t>
  </si>
  <si>
    <t>2025-02-02</t>
  </si>
  <si>
    <t>2025-03-21</t>
  </si>
  <si>
    <t>2025-01-05</t>
  </si>
  <si>
    <t>2025-02-07</t>
  </si>
  <si>
    <t>2025-02-25</t>
  </si>
  <si>
    <t>2025-04-21</t>
  </si>
  <si>
    <t>2025-01-29</t>
  </si>
  <si>
    <t>2025-04-11</t>
  </si>
  <si>
    <t>2025-04-16</t>
  </si>
  <si>
    <t>2025-01-14</t>
  </si>
  <si>
    <t>2025-03-22</t>
  </si>
  <si>
    <t>2025-04-12</t>
  </si>
  <si>
    <t>2025-04-04</t>
  </si>
  <si>
    <t>2025-01-21</t>
  </si>
  <si>
    <t>2025-03-18</t>
  </si>
  <si>
    <t>2025-02-17</t>
  </si>
  <si>
    <t>2025-04-13</t>
  </si>
  <si>
    <t>2025-04-28</t>
  </si>
  <si>
    <t>2025-03-07</t>
  </si>
  <si>
    <t>2025-02-03</t>
  </si>
  <si>
    <t>2025-01-24</t>
  </si>
  <si>
    <t>2025-01-17</t>
  </si>
  <si>
    <t>2025-02-28</t>
  </si>
  <si>
    <t>2025-04-15</t>
  </si>
  <si>
    <t>2025-02-04</t>
  </si>
  <si>
    <t>2025-03-31</t>
  </si>
  <si>
    <t>2025-03-12</t>
  </si>
  <si>
    <t>2025-01-06</t>
  </si>
  <si>
    <t>2025-01-10</t>
  </si>
  <si>
    <t>2025-02-16</t>
  </si>
  <si>
    <t>2025-01-07</t>
  </si>
  <si>
    <t>2025-02-13</t>
  </si>
  <si>
    <t>2025-05-01</t>
  </si>
  <si>
    <t>2025-03-15</t>
  </si>
  <si>
    <t>2025-02-27</t>
  </si>
  <si>
    <t>2025-04-18</t>
  </si>
  <si>
    <t>2025-04-19</t>
  </si>
  <si>
    <t>2025-01-28</t>
  </si>
  <si>
    <t>2025-04-09</t>
  </si>
  <si>
    <t>2025-01-25</t>
  </si>
  <si>
    <t>2025-02-09</t>
  </si>
  <si>
    <t>2025-03-03</t>
  </si>
  <si>
    <t>2025-04-07</t>
  </si>
  <si>
    <t>Bengaluru</t>
  </si>
  <si>
    <t>Pune</t>
  </si>
  <si>
    <t>Mumbai</t>
  </si>
  <si>
    <t>Delhi</t>
  </si>
  <si>
    <t>Spice Route</t>
  </si>
  <si>
    <t>Biryani House</t>
  </si>
  <si>
    <t>Burger Hub</t>
  </si>
  <si>
    <t>Food Palace</t>
  </si>
  <si>
    <t>Pizza World</t>
  </si>
  <si>
    <t>Chinese Corner</t>
  </si>
  <si>
    <t>Chinese</t>
  </si>
  <si>
    <t>Burger</t>
  </si>
  <si>
    <t>North Indian</t>
  </si>
  <si>
    <t>Pizza</t>
  </si>
  <si>
    <t>Biryani</t>
  </si>
  <si>
    <t>Pickup</t>
  </si>
  <si>
    <t>Delivery</t>
  </si>
  <si>
    <t>Delivered</t>
  </si>
  <si>
    <t>Cancelled</t>
  </si>
  <si>
    <t>Count of OrderID</t>
  </si>
  <si>
    <t>Row Labels</t>
  </si>
  <si>
    <t>Grand Total</t>
  </si>
  <si>
    <t>Sum of OrderValue</t>
  </si>
  <si>
    <t>date</t>
  </si>
  <si>
    <t>(All)</t>
  </si>
  <si>
    <t>order type</t>
  </si>
  <si>
    <t>Average of OrderValue</t>
  </si>
  <si>
    <t>cuisine</t>
  </si>
  <si>
    <t>discount</t>
  </si>
  <si>
    <t>rating</t>
  </si>
  <si>
    <t>Average of DeliveryTime(min)</t>
  </si>
  <si>
    <t>Q1</t>
  </si>
  <si>
    <t>Q3</t>
  </si>
  <si>
    <t>IQR</t>
  </si>
  <si>
    <t>LOWER LIMIT</t>
  </si>
  <si>
    <t>UPPER LIMIT</t>
  </si>
  <si>
    <t xml:space="preserve">Zomato Sales &amp; Delivery Performance Dashboard   </t>
  </si>
  <si>
    <t>OBJECTIVE 6    DESIGN A DASHBOARD  AND CONCLUSION
Orders and revenue trend is healthy and consistent
Biryani, North Indian and Pizza generate maximum revenue
Delivery and Pickup both contribute almost equally
Few orders show high delivery delay (outliers) — needs monitoring
10–20% discount slabs increase revenue effectively
Overall customer experience is positive with good ratings</t>
  </si>
  <si>
    <t>Total orders:80</t>
  </si>
  <si>
    <t>Avg Customer Rate: 4.1</t>
  </si>
  <si>
    <t>Avg Delivery: 47.75 min</t>
  </si>
  <si>
    <t>Delivered:86%</t>
  </si>
  <si>
    <t>Cancel order:14%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</si>
</sst>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28"/>
      <color theme="1"/>
      <name val="Calibri"/>
      <family val="2"/>
      <scheme val="minor"/>
    </font>
    <font>
      <b/>
      <sz val="20"/>
      <color theme="1"/>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5" tint="0.39997558519241921"/>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5" tint="0.79998168889431442"/>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top"/>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3" fillId="2" borderId="0" xfId="0" applyFont="1" applyFill="1" applyAlignment="1">
      <alignment horizontal="left" vertical="top" wrapText="1"/>
    </xf>
    <xf numFmtId="0" fontId="3" fillId="2" borderId="0" xfId="0" applyFont="1" applyFill="1" applyAlignment="1">
      <alignment horizontal="left" vertical="top"/>
    </xf>
    <xf numFmtId="0" fontId="2" fillId="3" borderId="0" xfId="0" applyFont="1" applyFill="1" applyAlignment="1">
      <alignment horizontal="center"/>
    </xf>
    <xf numFmtId="0" fontId="0" fillId="3" borderId="0" xfId="0" applyFill="1"/>
    <xf numFmtId="0" fontId="1" fillId="7" borderId="0" xfId="0" applyFont="1" applyFill="1" applyAlignment="1">
      <alignment horizontal="center"/>
    </xf>
    <xf numFmtId="0" fontId="1" fillId="2" borderId="0" xfId="0" applyFont="1" applyFill="1" applyAlignment="1">
      <alignment horizontal="center"/>
    </xf>
    <xf numFmtId="0" fontId="1" fillId="6" borderId="0" xfId="0" applyFont="1" applyFill="1" applyAlignment="1">
      <alignment horizontal="center"/>
    </xf>
    <xf numFmtId="0" fontId="1" fillId="5" borderId="0" xfId="0" applyFont="1" applyFill="1" applyAlignment="1">
      <alignment horizontal="center"/>
    </xf>
    <xf numFmtId="0" fontId="1" fillId="4"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 by pearl sethi.xlsv.xlsx]obj 1!PivotTable1</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Monthy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 1'!$B$1</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'obj 1'!$A$2:$A$64</c:f>
              <c:strCache>
                <c:ptCount val="62"/>
                <c:pt idx="0">
                  <c:v>2025-01-03</c:v>
                </c:pt>
                <c:pt idx="1">
                  <c:v>2025-01-05</c:v>
                </c:pt>
                <c:pt idx="2">
                  <c:v>2025-01-06</c:v>
                </c:pt>
                <c:pt idx="3">
                  <c:v>2025-01-07</c:v>
                </c:pt>
                <c:pt idx="4">
                  <c:v>2025-01-09</c:v>
                </c:pt>
                <c:pt idx="5">
                  <c:v>2025-01-10</c:v>
                </c:pt>
                <c:pt idx="6">
                  <c:v>2025-01-14</c:v>
                </c:pt>
                <c:pt idx="7">
                  <c:v>2025-01-15</c:v>
                </c:pt>
                <c:pt idx="8">
                  <c:v>2025-01-17</c:v>
                </c:pt>
                <c:pt idx="9">
                  <c:v>2025-01-19</c:v>
                </c:pt>
                <c:pt idx="10">
                  <c:v>2025-01-20</c:v>
                </c:pt>
                <c:pt idx="11">
                  <c:v>2025-01-21</c:v>
                </c:pt>
                <c:pt idx="12">
                  <c:v>2025-01-23</c:v>
                </c:pt>
                <c:pt idx="13">
                  <c:v>2025-01-24</c:v>
                </c:pt>
                <c:pt idx="14">
                  <c:v>2025-01-25</c:v>
                </c:pt>
                <c:pt idx="15">
                  <c:v>2025-01-28</c:v>
                </c:pt>
                <c:pt idx="16">
                  <c:v>2025-01-29</c:v>
                </c:pt>
                <c:pt idx="17">
                  <c:v>2025-02-02</c:v>
                </c:pt>
                <c:pt idx="18">
                  <c:v>2025-02-03</c:v>
                </c:pt>
                <c:pt idx="19">
                  <c:v>2025-02-04</c:v>
                </c:pt>
                <c:pt idx="20">
                  <c:v>2025-02-07</c:v>
                </c:pt>
                <c:pt idx="21">
                  <c:v>2025-02-09</c:v>
                </c:pt>
                <c:pt idx="22">
                  <c:v>2025-02-11</c:v>
                </c:pt>
                <c:pt idx="23">
                  <c:v>2025-02-13</c:v>
                </c:pt>
                <c:pt idx="24">
                  <c:v>2025-02-15</c:v>
                </c:pt>
                <c:pt idx="25">
                  <c:v>2025-02-16</c:v>
                </c:pt>
                <c:pt idx="26">
                  <c:v>2025-02-17</c:v>
                </c:pt>
                <c:pt idx="27">
                  <c:v>2025-02-20</c:v>
                </c:pt>
                <c:pt idx="28">
                  <c:v>2025-02-25</c:v>
                </c:pt>
                <c:pt idx="29">
                  <c:v>2025-02-27</c:v>
                </c:pt>
                <c:pt idx="30">
                  <c:v>2025-02-28</c:v>
                </c:pt>
                <c:pt idx="31">
                  <c:v>2025-03-03</c:v>
                </c:pt>
                <c:pt idx="32">
                  <c:v>2025-03-05</c:v>
                </c:pt>
                <c:pt idx="33">
                  <c:v>2025-03-07</c:v>
                </c:pt>
                <c:pt idx="34">
                  <c:v>2025-03-12</c:v>
                </c:pt>
                <c:pt idx="35">
                  <c:v>2025-03-13</c:v>
                </c:pt>
                <c:pt idx="36">
                  <c:v>2025-03-15</c:v>
                </c:pt>
                <c:pt idx="37">
                  <c:v>2025-03-16</c:v>
                </c:pt>
                <c:pt idx="38">
                  <c:v>2025-03-18</c:v>
                </c:pt>
                <c:pt idx="39">
                  <c:v>2025-03-21</c:v>
                </c:pt>
                <c:pt idx="40">
                  <c:v>2025-03-22</c:v>
                </c:pt>
                <c:pt idx="41">
                  <c:v>2025-03-26</c:v>
                </c:pt>
                <c:pt idx="42">
                  <c:v>2025-03-31</c:v>
                </c:pt>
                <c:pt idx="43">
                  <c:v>2025-04-04</c:v>
                </c:pt>
                <c:pt idx="44">
                  <c:v>2025-04-05</c:v>
                </c:pt>
                <c:pt idx="45">
                  <c:v>2025-04-06</c:v>
                </c:pt>
                <c:pt idx="46">
                  <c:v>2025-04-07</c:v>
                </c:pt>
                <c:pt idx="47">
                  <c:v>2025-04-09</c:v>
                </c:pt>
                <c:pt idx="48">
                  <c:v>2025-04-11</c:v>
                </c:pt>
                <c:pt idx="49">
                  <c:v>2025-04-12</c:v>
                </c:pt>
                <c:pt idx="50">
                  <c:v>2025-04-13</c:v>
                </c:pt>
                <c:pt idx="51">
                  <c:v>2025-04-14</c:v>
                </c:pt>
                <c:pt idx="52">
                  <c:v>2025-04-15</c:v>
                </c:pt>
                <c:pt idx="53">
                  <c:v>2025-04-16</c:v>
                </c:pt>
                <c:pt idx="54">
                  <c:v>2025-04-18</c:v>
                </c:pt>
                <c:pt idx="55">
                  <c:v>2025-04-19</c:v>
                </c:pt>
                <c:pt idx="56">
                  <c:v>2025-04-20</c:v>
                </c:pt>
                <c:pt idx="57">
                  <c:v>2025-04-21</c:v>
                </c:pt>
                <c:pt idx="58">
                  <c:v>2025-04-24</c:v>
                </c:pt>
                <c:pt idx="59">
                  <c:v>2025-04-27</c:v>
                </c:pt>
                <c:pt idx="60">
                  <c:v>2025-04-28</c:v>
                </c:pt>
                <c:pt idx="61">
                  <c:v>2025-05-01</c:v>
                </c:pt>
              </c:strCache>
            </c:strRef>
          </c:cat>
          <c:val>
            <c:numRef>
              <c:f>'obj 1'!$B$2:$B$64</c:f>
              <c:numCache>
                <c:formatCode>General</c:formatCode>
                <c:ptCount val="62"/>
                <c:pt idx="0">
                  <c:v>1147</c:v>
                </c:pt>
                <c:pt idx="1">
                  <c:v>631</c:v>
                </c:pt>
                <c:pt idx="2">
                  <c:v>151</c:v>
                </c:pt>
                <c:pt idx="3">
                  <c:v>132</c:v>
                </c:pt>
                <c:pt idx="4">
                  <c:v>1006</c:v>
                </c:pt>
                <c:pt idx="5">
                  <c:v>594</c:v>
                </c:pt>
                <c:pt idx="6">
                  <c:v>341</c:v>
                </c:pt>
                <c:pt idx="7">
                  <c:v>1564</c:v>
                </c:pt>
                <c:pt idx="8">
                  <c:v>1567</c:v>
                </c:pt>
                <c:pt idx="9">
                  <c:v>437</c:v>
                </c:pt>
                <c:pt idx="10">
                  <c:v>773</c:v>
                </c:pt>
                <c:pt idx="11">
                  <c:v>413</c:v>
                </c:pt>
                <c:pt idx="12">
                  <c:v>560</c:v>
                </c:pt>
                <c:pt idx="13">
                  <c:v>157</c:v>
                </c:pt>
                <c:pt idx="14">
                  <c:v>254</c:v>
                </c:pt>
                <c:pt idx="15">
                  <c:v>588</c:v>
                </c:pt>
                <c:pt idx="16">
                  <c:v>548</c:v>
                </c:pt>
                <c:pt idx="17">
                  <c:v>1529</c:v>
                </c:pt>
                <c:pt idx="18">
                  <c:v>2148</c:v>
                </c:pt>
                <c:pt idx="19">
                  <c:v>613</c:v>
                </c:pt>
                <c:pt idx="20">
                  <c:v>1178</c:v>
                </c:pt>
                <c:pt idx="21">
                  <c:v>251</c:v>
                </c:pt>
                <c:pt idx="22">
                  <c:v>890</c:v>
                </c:pt>
                <c:pt idx="23">
                  <c:v>364</c:v>
                </c:pt>
                <c:pt idx="24">
                  <c:v>1786</c:v>
                </c:pt>
                <c:pt idx="25">
                  <c:v>365</c:v>
                </c:pt>
                <c:pt idx="26">
                  <c:v>1315</c:v>
                </c:pt>
                <c:pt idx="27">
                  <c:v>1105</c:v>
                </c:pt>
                <c:pt idx="28">
                  <c:v>941</c:v>
                </c:pt>
                <c:pt idx="29">
                  <c:v>968</c:v>
                </c:pt>
                <c:pt idx="30">
                  <c:v>200</c:v>
                </c:pt>
                <c:pt idx="31">
                  <c:v>498</c:v>
                </c:pt>
                <c:pt idx="32">
                  <c:v>1367</c:v>
                </c:pt>
                <c:pt idx="33">
                  <c:v>587</c:v>
                </c:pt>
                <c:pt idx="34">
                  <c:v>1175</c:v>
                </c:pt>
                <c:pt idx="35">
                  <c:v>798</c:v>
                </c:pt>
                <c:pt idx="36">
                  <c:v>880</c:v>
                </c:pt>
                <c:pt idx="37">
                  <c:v>460</c:v>
                </c:pt>
                <c:pt idx="38">
                  <c:v>1141</c:v>
                </c:pt>
                <c:pt idx="39">
                  <c:v>572</c:v>
                </c:pt>
                <c:pt idx="40">
                  <c:v>232</c:v>
                </c:pt>
                <c:pt idx="41">
                  <c:v>274</c:v>
                </c:pt>
                <c:pt idx="42">
                  <c:v>826</c:v>
                </c:pt>
                <c:pt idx="43">
                  <c:v>231</c:v>
                </c:pt>
                <c:pt idx="44">
                  <c:v>1487</c:v>
                </c:pt>
                <c:pt idx="45">
                  <c:v>1043</c:v>
                </c:pt>
                <c:pt idx="46">
                  <c:v>986</c:v>
                </c:pt>
                <c:pt idx="47">
                  <c:v>1071</c:v>
                </c:pt>
                <c:pt idx="48">
                  <c:v>989</c:v>
                </c:pt>
                <c:pt idx="49">
                  <c:v>720</c:v>
                </c:pt>
                <c:pt idx="50">
                  <c:v>1995</c:v>
                </c:pt>
                <c:pt idx="51">
                  <c:v>1986</c:v>
                </c:pt>
                <c:pt idx="52">
                  <c:v>803</c:v>
                </c:pt>
                <c:pt idx="53">
                  <c:v>1730</c:v>
                </c:pt>
                <c:pt idx="54">
                  <c:v>776</c:v>
                </c:pt>
                <c:pt idx="55">
                  <c:v>432</c:v>
                </c:pt>
                <c:pt idx="56">
                  <c:v>905</c:v>
                </c:pt>
                <c:pt idx="57">
                  <c:v>631</c:v>
                </c:pt>
                <c:pt idx="58">
                  <c:v>906</c:v>
                </c:pt>
                <c:pt idx="59">
                  <c:v>1155</c:v>
                </c:pt>
                <c:pt idx="60">
                  <c:v>265</c:v>
                </c:pt>
                <c:pt idx="61">
                  <c:v>672</c:v>
                </c:pt>
              </c:numCache>
            </c:numRef>
          </c:val>
          <c:smooth val="0"/>
          <c:extLst>
            <c:ext xmlns:c16="http://schemas.microsoft.com/office/drawing/2014/chart" uri="{C3380CC4-5D6E-409C-BE32-E72D297353CC}">
              <c16:uniqueId val="{00000000-16A0-480A-B6D0-D0423A3F4466}"/>
            </c:ext>
          </c:extLst>
        </c:ser>
        <c:dLbls>
          <c:dLblPos val="t"/>
          <c:showLegendKey val="0"/>
          <c:showVal val="0"/>
          <c:showCatName val="0"/>
          <c:showSerName val="0"/>
          <c:showPercent val="0"/>
          <c:showBubbleSize val="0"/>
        </c:dLbls>
        <c:smooth val="0"/>
        <c:axId val="796551120"/>
        <c:axId val="796548240"/>
      </c:lineChart>
      <c:catAx>
        <c:axId val="796551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6548240"/>
        <c:crosses val="autoZero"/>
        <c:auto val="1"/>
        <c:lblAlgn val="ctr"/>
        <c:lblOffset val="100"/>
        <c:noMultiLvlLbl val="0"/>
      </c:catAx>
      <c:valAx>
        <c:axId val="796548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sum of order vale</a:t>
                </a:r>
              </a:p>
            </c:rich>
          </c:tx>
          <c:layout>
            <c:manualLayout>
              <c:xMode val="edge"/>
              <c:yMode val="edge"/>
              <c:x val="3.7807239639848833E-2"/>
              <c:y val="0.2557542863703122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655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 by pearl sethi.xlsv.xlsx]obj 1!PivotTable2</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Top Restaurants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 1'!$M$3</c:f>
              <c:strCache>
                <c:ptCount val="1"/>
                <c:pt idx="0">
                  <c:v>Total</c:v>
                </c:pt>
              </c:strCache>
            </c:strRef>
          </c:tx>
          <c:spPr>
            <a:solidFill>
              <a:schemeClr val="accent1"/>
            </a:solidFill>
            <a:ln>
              <a:noFill/>
            </a:ln>
            <a:effectLst/>
          </c:spPr>
          <c:invertIfNegative val="0"/>
          <c:cat>
            <c:strRef>
              <c:f>'obj 1'!$L$4:$L$10</c:f>
              <c:strCache>
                <c:ptCount val="6"/>
                <c:pt idx="0">
                  <c:v>Biryani House</c:v>
                </c:pt>
                <c:pt idx="1">
                  <c:v>Burger Hub</c:v>
                </c:pt>
                <c:pt idx="2">
                  <c:v>Chinese Corner</c:v>
                </c:pt>
                <c:pt idx="3">
                  <c:v>Food Palace</c:v>
                </c:pt>
                <c:pt idx="4">
                  <c:v>Pizza World</c:v>
                </c:pt>
                <c:pt idx="5">
                  <c:v>Spice Route</c:v>
                </c:pt>
              </c:strCache>
            </c:strRef>
          </c:cat>
          <c:val>
            <c:numRef>
              <c:f>'obj 1'!$M$4:$M$10</c:f>
              <c:numCache>
                <c:formatCode>General</c:formatCode>
                <c:ptCount val="6"/>
                <c:pt idx="0">
                  <c:v>6310</c:v>
                </c:pt>
                <c:pt idx="1">
                  <c:v>11577</c:v>
                </c:pt>
                <c:pt idx="2">
                  <c:v>2627</c:v>
                </c:pt>
                <c:pt idx="3">
                  <c:v>11418</c:v>
                </c:pt>
                <c:pt idx="4">
                  <c:v>11215</c:v>
                </c:pt>
                <c:pt idx="5">
                  <c:v>8962</c:v>
                </c:pt>
              </c:numCache>
            </c:numRef>
          </c:val>
          <c:extLst>
            <c:ext xmlns:c16="http://schemas.microsoft.com/office/drawing/2014/chart" uri="{C3380CC4-5D6E-409C-BE32-E72D297353CC}">
              <c16:uniqueId val="{00000000-0946-4E1D-860B-C23FE7AB9604}"/>
            </c:ext>
          </c:extLst>
        </c:ser>
        <c:dLbls>
          <c:showLegendKey val="0"/>
          <c:showVal val="0"/>
          <c:showCatName val="0"/>
          <c:showSerName val="0"/>
          <c:showPercent val="0"/>
          <c:showBubbleSize val="0"/>
        </c:dLbls>
        <c:gapWidth val="182"/>
        <c:axId val="796578000"/>
        <c:axId val="796579440"/>
      </c:barChart>
      <c:catAx>
        <c:axId val="7965780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restaurant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6579440"/>
        <c:crosses val="autoZero"/>
        <c:auto val="1"/>
        <c:lblAlgn val="ctr"/>
        <c:lblOffset val="100"/>
        <c:noMultiLvlLbl val="0"/>
      </c:catAx>
      <c:valAx>
        <c:axId val="7965794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order value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657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 by pearl sethi.xlsv.xlsx]obj2!PivotTable3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a:t>
            </a:r>
            <a:r>
              <a:rPr lang="en-US" baseline="0"/>
              <a:t> type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'obj2'!$B$3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'obj2'!$A$4:$A$6</c:f>
              <c:strCache>
                <c:ptCount val="2"/>
                <c:pt idx="0">
                  <c:v>Delivery</c:v>
                </c:pt>
                <c:pt idx="1">
                  <c:v>Pickup</c:v>
                </c:pt>
              </c:strCache>
            </c:strRef>
          </c:cat>
          <c:val>
            <c:numRef>
              <c:f>'obj2'!$B$4:$B$6</c:f>
              <c:numCache>
                <c:formatCode>General</c:formatCode>
                <c:ptCount val="2"/>
                <c:pt idx="0">
                  <c:v>39</c:v>
                </c:pt>
                <c:pt idx="1">
                  <c:v>41</c:v>
                </c:pt>
              </c:numCache>
            </c:numRef>
          </c:val>
          <c:extLst>
            <c:ext xmlns:c16="http://schemas.microsoft.com/office/drawing/2014/chart" uri="{C3380CC4-5D6E-409C-BE32-E72D297353CC}">
              <c16:uniqueId val="{00000000-922F-40A8-A8FD-34A826E94BD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 by pearl sethi.xlsv.xlsx]obj2!PivotTable4</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avg spend per cuisine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'obj2'!$I$1</c:f>
              <c:strCache>
                <c:ptCount val="1"/>
                <c:pt idx="0">
                  <c:v>Total</c:v>
                </c:pt>
              </c:strCache>
            </c:strRef>
          </c:tx>
          <c:spPr>
            <a:solidFill>
              <a:schemeClr val="accent1"/>
            </a:solidFill>
            <a:ln>
              <a:noFill/>
            </a:ln>
            <a:effectLst/>
          </c:spPr>
          <c:invertIfNegative val="0"/>
          <c:cat>
            <c:strRef>
              <c:f>'obj2'!$H$2:$H$7</c:f>
              <c:strCache>
                <c:ptCount val="5"/>
                <c:pt idx="0">
                  <c:v>Biryani</c:v>
                </c:pt>
                <c:pt idx="1">
                  <c:v>Burger</c:v>
                </c:pt>
                <c:pt idx="2">
                  <c:v>Chinese</c:v>
                </c:pt>
                <c:pt idx="3">
                  <c:v>North Indian</c:v>
                </c:pt>
                <c:pt idx="4">
                  <c:v>Pizza</c:v>
                </c:pt>
              </c:strCache>
            </c:strRef>
          </c:cat>
          <c:val>
            <c:numRef>
              <c:f>'obj2'!$I$2:$I$7</c:f>
              <c:numCache>
                <c:formatCode>General</c:formatCode>
                <c:ptCount val="5"/>
                <c:pt idx="0">
                  <c:v>576.1875</c:v>
                </c:pt>
                <c:pt idx="1">
                  <c:v>681.73333333333335</c:v>
                </c:pt>
                <c:pt idx="2">
                  <c:v>638.65</c:v>
                </c:pt>
                <c:pt idx="3">
                  <c:v>710.33333333333337</c:v>
                </c:pt>
                <c:pt idx="4">
                  <c:v>674.9</c:v>
                </c:pt>
              </c:numCache>
            </c:numRef>
          </c:val>
          <c:extLst>
            <c:ext xmlns:c16="http://schemas.microsoft.com/office/drawing/2014/chart" uri="{C3380CC4-5D6E-409C-BE32-E72D297353CC}">
              <c16:uniqueId val="{00000000-50CD-4EDA-869E-8B5D1CA13186}"/>
            </c:ext>
          </c:extLst>
        </c:ser>
        <c:dLbls>
          <c:showLegendKey val="0"/>
          <c:showVal val="0"/>
          <c:showCatName val="0"/>
          <c:showSerName val="0"/>
          <c:showPercent val="0"/>
          <c:showBubbleSize val="0"/>
        </c:dLbls>
        <c:gapWidth val="219"/>
        <c:overlap val="-27"/>
        <c:axId val="796575600"/>
        <c:axId val="796577520"/>
      </c:barChart>
      <c:catAx>
        <c:axId val="796575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cuisine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6577520"/>
        <c:crosses val="autoZero"/>
        <c:auto val="1"/>
        <c:lblAlgn val="ctr"/>
        <c:lblOffset val="100"/>
        <c:noMultiLvlLbl val="0"/>
      </c:catAx>
      <c:valAx>
        <c:axId val="796577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order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657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 by pearl sethi.xlsv.xlsx]obj3!PivotTable6</c:name>
    <c:fmtId val="0"/>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IN"/>
              <a:t>Revenue Across Discount Slabs</a:t>
            </a:r>
          </a:p>
          <a:p>
            <a:pPr algn="ctr" rtl="0">
              <a:defRPr/>
            </a:pPr>
            <a:endParaRPr lang="en-US"/>
          </a:p>
        </c:rich>
      </c:tx>
      <c:layout>
        <c:manualLayout>
          <c:xMode val="edge"/>
          <c:yMode val="edge"/>
          <c:x val="0.29250000000000004"/>
          <c:y val="9.6201516477107021E-2"/>
        </c:manualLayout>
      </c:layout>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'obj3'!$A$4:$A$12</c:f>
              <c:strCache>
                <c:ptCount val="8"/>
                <c:pt idx="0">
                  <c:v>0</c:v>
                </c:pt>
                <c:pt idx="1">
                  <c:v>5</c:v>
                </c:pt>
                <c:pt idx="2">
                  <c:v>10</c:v>
                </c:pt>
                <c:pt idx="3">
                  <c:v>15</c:v>
                </c:pt>
                <c:pt idx="4">
                  <c:v>20</c:v>
                </c:pt>
                <c:pt idx="5">
                  <c:v>25</c:v>
                </c:pt>
                <c:pt idx="6">
                  <c:v>30</c:v>
                </c:pt>
                <c:pt idx="7">
                  <c:v>40</c:v>
                </c:pt>
              </c:strCache>
            </c:strRef>
          </c:cat>
          <c:val>
            <c:numRef>
              <c:f>'obj3'!$B$4:$B$12</c:f>
              <c:numCache>
                <c:formatCode>General</c:formatCode>
                <c:ptCount val="8"/>
                <c:pt idx="0">
                  <c:v>10658</c:v>
                </c:pt>
                <c:pt idx="1">
                  <c:v>3859</c:v>
                </c:pt>
                <c:pt idx="2">
                  <c:v>5205</c:v>
                </c:pt>
                <c:pt idx="3">
                  <c:v>7610</c:v>
                </c:pt>
                <c:pt idx="4">
                  <c:v>5025</c:v>
                </c:pt>
                <c:pt idx="5">
                  <c:v>3870</c:v>
                </c:pt>
                <c:pt idx="6">
                  <c:v>4170</c:v>
                </c:pt>
                <c:pt idx="7">
                  <c:v>11712</c:v>
                </c:pt>
              </c:numCache>
            </c:numRef>
          </c:val>
          <c:smooth val="0"/>
          <c:extLst>
            <c:ext xmlns:c16="http://schemas.microsoft.com/office/drawing/2014/chart" uri="{C3380CC4-5D6E-409C-BE32-E72D297353CC}">
              <c16:uniqueId val="{00000000-A3F9-4039-91B2-8A6C9C2E2EB5}"/>
            </c:ext>
          </c:extLst>
        </c:ser>
        <c:dLbls>
          <c:showLegendKey val="0"/>
          <c:showVal val="0"/>
          <c:showCatName val="0"/>
          <c:showSerName val="0"/>
          <c:showPercent val="0"/>
          <c:showBubbleSize val="0"/>
        </c:dLbls>
        <c:marker val="1"/>
        <c:smooth val="0"/>
        <c:axId val="796594320"/>
        <c:axId val="796596240"/>
      </c:lineChart>
      <c:catAx>
        <c:axId val="79659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6596240"/>
        <c:crosses val="autoZero"/>
        <c:auto val="1"/>
        <c:lblAlgn val="ctr"/>
        <c:lblOffset val="100"/>
        <c:noMultiLvlLbl val="0"/>
      </c:catAx>
      <c:valAx>
        <c:axId val="79659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659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 by pearl sethi.xlsv.xlsx]obj3!PivotTable7</c:name>
    <c:fmtId val="0"/>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a:t>Orders by Customer Rating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'obj3'!$J$1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'obj3'!$I$2:$I$7</c:f>
              <c:strCache>
                <c:ptCount val="5"/>
                <c:pt idx="0">
                  <c:v>1</c:v>
                </c:pt>
                <c:pt idx="1">
                  <c:v>2</c:v>
                </c:pt>
                <c:pt idx="2">
                  <c:v>3</c:v>
                </c:pt>
                <c:pt idx="3">
                  <c:v>4</c:v>
                </c:pt>
                <c:pt idx="4">
                  <c:v>5</c:v>
                </c:pt>
              </c:strCache>
            </c:strRef>
          </c:cat>
          <c:val>
            <c:numRef>
              <c:f>'obj3'!$J$2:$J$7</c:f>
              <c:numCache>
                <c:formatCode>General</c:formatCode>
                <c:ptCount val="5"/>
                <c:pt idx="0">
                  <c:v>17</c:v>
                </c:pt>
                <c:pt idx="1">
                  <c:v>19</c:v>
                </c:pt>
                <c:pt idx="2">
                  <c:v>13</c:v>
                </c:pt>
                <c:pt idx="3">
                  <c:v>20</c:v>
                </c:pt>
                <c:pt idx="4">
                  <c:v>11</c:v>
                </c:pt>
              </c:numCache>
            </c:numRef>
          </c:val>
          <c:extLst>
            <c:ext xmlns:c16="http://schemas.microsoft.com/office/drawing/2014/chart" uri="{C3380CC4-5D6E-409C-BE32-E72D297353CC}">
              <c16:uniqueId val="{00000000-87EA-44DC-AA54-52A762F297C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 by pearl sethi.xlsv.xlsx]obj4!PivotTable8</c:name>
    <c:fmtId val="0"/>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a:t>Average Delivery Time by City</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ofPieChart>
        <c:ofPieType val="pie"/>
        <c:varyColors val="1"/>
        <c:ser>
          <c:idx val="0"/>
          <c:order val="0"/>
          <c:tx>
            <c:strRef>
              <c:f>'obj4'!$B$3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'obj4'!$A$4:$A$8</c:f>
              <c:strCache>
                <c:ptCount val="4"/>
                <c:pt idx="0">
                  <c:v>Bengaluru</c:v>
                </c:pt>
                <c:pt idx="1">
                  <c:v>Delhi</c:v>
                </c:pt>
                <c:pt idx="2">
                  <c:v>Mumbai</c:v>
                </c:pt>
                <c:pt idx="3">
                  <c:v>Pune</c:v>
                </c:pt>
              </c:strCache>
            </c:strRef>
          </c:cat>
          <c:val>
            <c:numRef>
              <c:f>'obj4'!$B$4:$B$8</c:f>
              <c:numCache>
                <c:formatCode>General</c:formatCode>
                <c:ptCount val="4"/>
                <c:pt idx="0">
                  <c:v>39.583333333333336</c:v>
                </c:pt>
                <c:pt idx="1">
                  <c:v>35.222222222222221</c:v>
                </c:pt>
                <c:pt idx="2">
                  <c:v>32.916666666666664</c:v>
                </c:pt>
                <c:pt idx="3">
                  <c:v>39.285714285714285</c:v>
                </c:pt>
              </c:numCache>
            </c:numRef>
          </c:val>
          <c:extLst>
            <c:ext xmlns:c16="http://schemas.microsoft.com/office/drawing/2014/chart" uri="{C3380CC4-5D6E-409C-BE32-E72D297353CC}">
              <c16:uniqueId val="{00000000-1958-492B-9C37-B4456D51DE08}"/>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 by pearl sethi.xlsv.xlsx]obj4!PivotTable9</c:name>
    <c:fmtId val="0"/>
  </c:pivotSource>
  <c:chart>
    <c:title>
      <c:tx>
        <c:rich>
          <a:bodyPr rot="0" spcFirstLastPara="1" vertOverflow="ellipsis" vert="horz" wrap="square" anchor="ctr" anchorCtr="1"/>
          <a:lstStyle/>
          <a:p>
            <a:pPr>
              <a:defRPr sz="1800" b="1" i="0" u="none" strike="noStrike" kern="1200" cap="all" baseline="0">
                <a:solidFill>
                  <a:schemeClr val="dk1"/>
                </a:solidFill>
                <a:latin typeface="+mn-lt"/>
                <a:ea typeface="+mn-ea"/>
                <a:cs typeface="+mn-cs"/>
              </a:defRPr>
            </a:pPr>
            <a:r>
              <a:rPr lang="en-IN"/>
              <a:t>Order Completion Status</a:t>
            </a:r>
            <a:endParaRPr lang="en-US"/>
          </a:p>
        </c:rich>
      </c:tx>
      <c:layout>
        <c:manualLayout>
          <c:xMode val="edge"/>
          <c:yMode val="edge"/>
          <c:x val="0.34527777777777779"/>
          <c:y val="6.8423738699329245E-2"/>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dk1"/>
              </a:solidFill>
              <a:latin typeface="+mn-lt"/>
              <a:ea typeface="+mn-ea"/>
              <a:cs typeface="+mn-cs"/>
            </a:defRPr>
          </a:pPr>
          <a:endParaRPr lang="en-US"/>
        </a:p>
      </c:tx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'obj4'!$J$1</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2-56A3-4E91-8ED7-5EC78BD15809}"/>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56A3-4E91-8ED7-5EC78BD15809}"/>
              </c:ext>
            </c:extLst>
          </c:dPt>
          <c:dLbls>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'obj4'!$I$2:$I$4</c:f>
              <c:strCache>
                <c:ptCount val="2"/>
                <c:pt idx="0">
                  <c:v>Cancelled</c:v>
                </c:pt>
                <c:pt idx="1">
                  <c:v>Delivered</c:v>
                </c:pt>
              </c:strCache>
            </c:strRef>
          </c:cat>
          <c:val>
            <c:numRef>
              <c:f>'obj4'!$J$2:$J$4</c:f>
              <c:numCache>
                <c:formatCode>General</c:formatCode>
                <c:ptCount val="2"/>
                <c:pt idx="0">
                  <c:v>11</c:v>
                </c:pt>
                <c:pt idx="1">
                  <c:v>69</c:v>
                </c:pt>
              </c:numCache>
            </c:numRef>
          </c:val>
          <c:extLst>
            <c:ext xmlns:c16="http://schemas.microsoft.com/office/drawing/2014/chart" uri="{C3380CC4-5D6E-409C-BE32-E72D297353CC}">
              <c16:uniqueId val="{00000000-56A3-4E91-8ED7-5EC78BD15809}"/>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 by pearl sethi.xlsv.xlsx]obj4!PivotTable9</c:name>
    <c:fmtId val="4"/>
  </c:pivotSource>
  <c:chart>
    <c:title>
      <c:tx>
        <c:rich>
          <a:bodyPr rot="0" spcFirstLastPara="1" vertOverflow="ellipsis" vert="horz" wrap="square" anchor="ctr" anchorCtr="1"/>
          <a:lstStyle/>
          <a:p>
            <a:pPr>
              <a:defRPr sz="1800" b="1" i="0" u="none" strike="noStrike" kern="1200" cap="all" baseline="0">
                <a:solidFill>
                  <a:schemeClr val="dk1"/>
                </a:solidFill>
                <a:latin typeface="+mn-lt"/>
                <a:ea typeface="+mn-ea"/>
                <a:cs typeface="+mn-cs"/>
              </a:defRPr>
            </a:pPr>
            <a:r>
              <a:rPr lang="en-IN"/>
              <a:t>Order Completion Status</a:t>
            </a:r>
            <a:endParaRPr lang="en-US"/>
          </a:p>
        </c:rich>
      </c:tx>
      <c:layout>
        <c:manualLayout>
          <c:xMode val="edge"/>
          <c:yMode val="edge"/>
          <c:x val="0.34527777777777779"/>
          <c:y val="6.8423738699329245E-2"/>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dk1"/>
              </a:solidFill>
              <a:latin typeface="+mn-lt"/>
              <a:ea typeface="+mn-ea"/>
              <a:cs typeface="+mn-cs"/>
            </a:defRPr>
          </a:pPr>
          <a:endParaRPr lang="en-US"/>
        </a:p>
      </c:tx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1021545555831429E-2"/>
          <c:y val="0.29836462749848575"/>
          <c:w val="0.93888888888888888"/>
          <c:h val="0.66317330125400986"/>
        </c:manualLayout>
      </c:layout>
      <c:pie3DChart>
        <c:varyColors val="1"/>
        <c:ser>
          <c:idx val="0"/>
          <c:order val="0"/>
          <c:tx>
            <c:strRef>
              <c:f>'obj4'!$J$1</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101B-4642-A28C-25C81B4C229F}"/>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101B-4642-A28C-25C81B4C229F}"/>
              </c:ext>
            </c:extLst>
          </c:dPt>
          <c:dLbls>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1-101B-4642-A28C-25C81B4C229F}"/>
                </c:ext>
              </c:extLst>
            </c:dLbl>
            <c:dLbl>
              <c:idx val="1"/>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3-101B-4642-A28C-25C81B4C229F}"/>
                </c:ext>
              </c:extLst>
            </c:dLbl>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'obj4'!$I$2:$I$4</c:f>
              <c:strCache>
                <c:ptCount val="2"/>
                <c:pt idx="0">
                  <c:v>Cancelled</c:v>
                </c:pt>
                <c:pt idx="1">
                  <c:v>Delivered</c:v>
                </c:pt>
              </c:strCache>
            </c:strRef>
          </c:cat>
          <c:val>
            <c:numRef>
              <c:f>'obj4'!$J$2:$J$4</c:f>
              <c:numCache>
                <c:formatCode>General</c:formatCode>
                <c:ptCount val="2"/>
                <c:pt idx="0">
                  <c:v>11</c:v>
                </c:pt>
                <c:pt idx="1">
                  <c:v>69</c:v>
                </c:pt>
              </c:numCache>
            </c:numRef>
          </c:val>
          <c:extLst>
            <c:ext xmlns:c16="http://schemas.microsoft.com/office/drawing/2014/chart" uri="{C3380CC4-5D6E-409C-BE32-E72D297353CC}">
              <c16:uniqueId val="{00000004-101B-4642-A28C-25C81B4C229F}"/>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 by pearl sethi.xlsv.xlsx]obj4!PivotTable8</c:name>
    <c:fmtId val="4"/>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a:t>Average Delivery Time by City</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3125013072099672E-2"/>
          <c:y val="0.61281095782387995"/>
          <c:w val="0.74155726908397368"/>
          <c:h val="0.2983002051325721"/>
        </c:manualLayout>
      </c:layout>
      <c:ofPieChart>
        <c:ofPieType val="pie"/>
        <c:varyColors val="1"/>
        <c:ser>
          <c:idx val="0"/>
          <c:order val="0"/>
          <c:tx>
            <c:strRef>
              <c:f>'obj4'!$B$3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67C-40BD-9797-28214B735C4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67C-40BD-9797-28214B735C4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67C-40BD-9797-28214B735C4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67C-40BD-9797-28214B735C4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67C-40BD-9797-28214B735C4F}"/>
              </c:ext>
            </c:extLst>
          </c:dPt>
          <c:dLbls>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'obj4'!$A$4:$A$8</c:f>
              <c:strCache>
                <c:ptCount val="4"/>
                <c:pt idx="0">
                  <c:v>Bengaluru</c:v>
                </c:pt>
                <c:pt idx="1">
                  <c:v>Delhi</c:v>
                </c:pt>
                <c:pt idx="2">
                  <c:v>Mumbai</c:v>
                </c:pt>
                <c:pt idx="3">
                  <c:v>Pune</c:v>
                </c:pt>
              </c:strCache>
            </c:strRef>
          </c:cat>
          <c:val>
            <c:numRef>
              <c:f>'obj4'!$B$4:$B$8</c:f>
              <c:numCache>
                <c:formatCode>General</c:formatCode>
                <c:ptCount val="4"/>
                <c:pt idx="0">
                  <c:v>39.583333333333336</c:v>
                </c:pt>
                <c:pt idx="1">
                  <c:v>35.222222222222221</c:v>
                </c:pt>
                <c:pt idx="2">
                  <c:v>32.916666666666664</c:v>
                </c:pt>
                <c:pt idx="3">
                  <c:v>39.285714285714285</c:v>
                </c:pt>
              </c:numCache>
            </c:numRef>
          </c:val>
          <c:extLst>
            <c:ext xmlns:c16="http://schemas.microsoft.com/office/drawing/2014/chart" uri="{C3380CC4-5D6E-409C-BE32-E72D297353CC}">
              <c16:uniqueId val="{0000000A-367C-40BD-9797-28214B735C4F}"/>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 by pearl sethi.xlsv.xlsx]obj3!PivotTable7</c:name>
    <c:fmtId val="4"/>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a:t>Orders by Customer Rating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solidFill>
              <a:schemeClr val="accent2"/>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accent2"/>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accent2"/>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'obj3'!$J$1</c:f>
              <c:strCache>
                <c:ptCount val="1"/>
                <c:pt idx="0">
                  <c:v>Total</c:v>
                </c:pt>
              </c:strCache>
            </c:strRef>
          </c:tx>
          <c:spPr>
            <a:solidFill>
              <a:schemeClr val="accent1"/>
            </a:solidFill>
            <a:ln>
              <a:noFill/>
            </a:ln>
            <a:effectLst>
              <a:outerShdw blurRad="254000" sx="102000" sy="102000" algn="ctr" rotWithShape="0">
                <a:prstClr val="black">
                  <a:alpha val="20000"/>
                </a:prstClr>
              </a:outerShdw>
            </a:effectLst>
            <a:sp3d/>
          </c:spPr>
          <c:invertIfNegative val="0"/>
          <c:dPt>
            <c:idx val="0"/>
            <c:invertIfNegative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38D-4CAC-9318-CF54F9F68891}"/>
              </c:ext>
            </c:extLst>
          </c:dPt>
          <c:dPt>
            <c:idx val="1"/>
            <c:invertIfNegative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38D-4CAC-9318-CF54F9F68891}"/>
              </c:ext>
            </c:extLst>
          </c:dPt>
          <c:dPt>
            <c:idx val="2"/>
            <c:invertIfNegative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38D-4CAC-9318-CF54F9F68891}"/>
              </c:ext>
            </c:extLst>
          </c:dPt>
          <c:dPt>
            <c:idx val="3"/>
            <c:invertIfNegative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638D-4CAC-9318-CF54F9F68891}"/>
              </c:ext>
            </c:extLst>
          </c:dPt>
          <c:dPt>
            <c:idx val="4"/>
            <c:invertIfNegative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638D-4CAC-9318-CF54F9F68891}"/>
              </c:ext>
            </c:extLst>
          </c:dPt>
          <c:dLbls>
            <c:spPr>
              <a:solidFill>
                <a:schemeClr val="accent2"/>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'obj3'!$I$2:$I$7</c:f>
              <c:strCache>
                <c:ptCount val="5"/>
                <c:pt idx="0">
                  <c:v>1</c:v>
                </c:pt>
                <c:pt idx="1">
                  <c:v>2</c:v>
                </c:pt>
                <c:pt idx="2">
                  <c:v>3</c:v>
                </c:pt>
                <c:pt idx="3">
                  <c:v>4</c:v>
                </c:pt>
                <c:pt idx="4">
                  <c:v>5</c:v>
                </c:pt>
              </c:strCache>
            </c:strRef>
          </c:cat>
          <c:val>
            <c:numRef>
              <c:f>'obj3'!$J$2:$J$7</c:f>
              <c:numCache>
                <c:formatCode>General</c:formatCode>
                <c:ptCount val="5"/>
                <c:pt idx="0">
                  <c:v>17</c:v>
                </c:pt>
                <c:pt idx="1">
                  <c:v>19</c:v>
                </c:pt>
                <c:pt idx="2">
                  <c:v>13</c:v>
                </c:pt>
                <c:pt idx="3">
                  <c:v>20</c:v>
                </c:pt>
                <c:pt idx="4">
                  <c:v>11</c:v>
                </c:pt>
              </c:numCache>
            </c:numRef>
          </c:val>
          <c:extLst>
            <c:ext xmlns:c16="http://schemas.microsoft.com/office/drawing/2014/chart" uri="{C3380CC4-5D6E-409C-BE32-E72D297353CC}">
              <c16:uniqueId val="{0000000A-638D-4CAC-9318-CF54F9F68891}"/>
            </c:ext>
          </c:extLst>
        </c:ser>
        <c:dLbls>
          <c:showLegendKey val="0"/>
          <c:showVal val="0"/>
          <c:showCatName val="0"/>
          <c:showSerName val="0"/>
          <c:showPercent val="0"/>
          <c:showBubbleSize val="0"/>
        </c:dLbls>
        <c:gapWidth val="100"/>
        <c:shape val="box"/>
        <c:axId val="1858525344"/>
        <c:axId val="1858542624"/>
        <c:axId val="0"/>
      </c:bar3DChart>
      <c:catAx>
        <c:axId val="1858525344"/>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crossAx val="1858542624"/>
        <c:auto val="1"/>
        <c:lblAlgn val="ctr"/>
        <c:lblOffset val="100"/>
        <c:noMultiLvlLbl val="0"/>
      </c:catAx>
      <c:valAx>
        <c:axId val="185854262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58525344"/>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 by pearl sethi.xlsv.xlsx]obj3!PivotTable6</c:name>
    <c:fmtId val="2"/>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IN"/>
              <a:t>Revenue Across Discount Slabs</a:t>
            </a:r>
          </a:p>
          <a:p>
            <a:pPr algn="ctr" rtl="0">
              <a:defRPr/>
            </a:pPr>
            <a:endParaRPr lang="en-US"/>
          </a:p>
        </c:rich>
      </c:tx>
      <c:layout>
        <c:manualLayout>
          <c:xMode val="edge"/>
          <c:yMode val="edge"/>
          <c:x val="0.29250000000000004"/>
          <c:y val="9.6201516477107021E-2"/>
        </c:manualLayout>
      </c:layout>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'obj3'!$A$4:$A$12</c:f>
              <c:strCache>
                <c:ptCount val="8"/>
                <c:pt idx="0">
                  <c:v>0</c:v>
                </c:pt>
                <c:pt idx="1">
                  <c:v>5</c:v>
                </c:pt>
                <c:pt idx="2">
                  <c:v>10</c:v>
                </c:pt>
                <c:pt idx="3">
                  <c:v>15</c:v>
                </c:pt>
                <c:pt idx="4">
                  <c:v>20</c:v>
                </c:pt>
                <c:pt idx="5">
                  <c:v>25</c:v>
                </c:pt>
                <c:pt idx="6">
                  <c:v>30</c:v>
                </c:pt>
                <c:pt idx="7">
                  <c:v>40</c:v>
                </c:pt>
              </c:strCache>
            </c:strRef>
          </c:cat>
          <c:val>
            <c:numRef>
              <c:f>'obj3'!$B$4:$B$12</c:f>
              <c:numCache>
                <c:formatCode>General</c:formatCode>
                <c:ptCount val="8"/>
                <c:pt idx="0">
                  <c:v>10658</c:v>
                </c:pt>
                <c:pt idx="1">
                  <c:v>3859</c:v>
                </c:pt>
                <c:pt idx="2">
                  <c:v>5205</c:v>
                </c:pt>
                <c:pt idx="3">
                  <c:v>7610</c:v>
                </c:pt>
                <c:pt idx="4">
                  <c:v>5025</c:v>
                </c:pt>
                <c:pt idx="5">
                  <c:v>3870</c:v>
                </c:pt>
                <c:pt idx="6">
                  <c:v>4170</c:v>
                </c:pt>
                <c:pt idx="7">
                  <c:v>11712</c:v>
                </c:pt>
              </c:numCache>
            </c:numRef>
          </c:val>
          <c:smooth val="0"/>
          <c:extLst>
            <c:ext xmlns:c16="http://schemas.microsoft.com/office/drawing/2014/chart" uri="{C3380CC4-5D6E-409C-BE32-E72D297353CC}">
              <c16:uniqueId val="{00000000-9105-45AB-9307-21ACE17D42EA}"/>
            </c:ext>
          </c:extLst>
        </c:ser>
        <c:dLbls>
          <c:dLblPos val="t"/>
          <c:showLegendKey val="0"/>
          <c:showVal val="1"/>
          <c:showCatName val="0"/>
          <c:showSerName val="0"/>
          <c:showPercent val="0"/>
          <c:showBubbleSize val="0"/>
        </c:dLbls>
        <c:marker val="1"/>
        <c:smooth val="0"/>
        <c:axId val="796594320"/>
        <c:axId val="796596240"/>
      </c:lineChart>
      <c:catAx>
        <c:axId val="79659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6596240"/>
        <c:crosses val="autoZero"/>
        <c:auto val="1"/>
        <c:lblAlgn val="ctr"/>
        <c:lblOffset val="100"/>
        <c:noMultiLvlLbl val="0"/>
      </c:catAx>
      <c:valAx>
        <c:axId val="79659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659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 by pearl sethi.xlsv.xlsx]obj2!PivotTable4</c:name>
    <c:fmtId val="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avg spend per cuisine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'obj2'!$I$1</c:f>
              <c:strCache>
                <c:ptCount val="1"/>
                <c:pt idx="0">
                  <c:v>Total</c:v>
                </c:pt>
              </c:strCache>
            </c:strRef>
          </c:tx>
          <c:spPr>
            <a:solidFill>
              <a:schemeClr val="accent1"/>
            </a:solidFill>
            <a:ln>
              <a:noFill/>
            </a:ln>
            <a:effectLst/>
          </c:spPr>
          <c:invertIfNegative val="0"/>
          <c:cat>
            <c:strRef>
              <c:f>'obj2'!$H$2:$H$7</c:f>
              <c:strCache>
                <c:ptCount val="5"/>
                <c:pt idx="0">
                  <c:v>Biryani</c:v>
                </c:pt>
                <c:pt idx="1">
                  <c:v>Burger</c:v>
                </c:pt>
                <c:pt idx="2">
                  <c:v>Chinese</c:v>
                </c:pt>
                <c:pt idx="3">
                  <c:v>North Indian</c:v>
                </c:pt>
                <c:pt idx="4">
                  <c:v>Pizza</c:v>
                </c:pt>
              </c:strCache>
            </c:strRef>
          </c:cat>
          <c:val>
            <c:numRef>
              <c:f>'obj2'!$I$2:$I$7</c:f>
              <c:numCache>
                <c:formatCode>General</c:formatCode>
                <c:ptCount val="5"/>
                <c:pt idx="0">
                  <c:v>576.1875</c:v>
                </c:pt>
                <c:pt idx="1">
                  <c:v>681.73333333333335</c:v>
                </c:pt>
                <c:pt idx="2">
                  <c:v>638.65</c:v>
                </c:pt>
                <c:pt idx="3">
                  <c:v>710.33333333333337</c:v>
                </c:pt>
                <c:pt idx="4">
                  <c:v>674.9</c:v>
                </c:pt>
              </c:numCache>
            </c:numRef>
          </c:val>
          <c:extLst>
            <c:ext xmlns:c16="http://schemas.microsoft.com/office/drawing/2014/chart" uri="{C3380CC4-5D6E-409C-BE32-E72D297353CC}">
              <c16:uniqueId val="{00000000-892E-4E28-A0CA-632D509D0642}"/>
            </c:ext>
          </c:extLst>
        </c:ser>
        <c:dLbls>
          <c:dLblPos val="outEnd"/>
          <c:showLegendKey val="0"/>
          <c:showVal val="0"/>
          <c:showCatName val="0"/>
          <c:showSerName val="0"/>
          <c:showPercent val="0"/>
          <c:showBubbleSize val="0"/>
        </c:dLbls>
        <c:gapWidth val="219"/>
        <c:overlap val="-27"/>
        <c:axId val="796575600"/>
        <c:axId val="796577520"/>
      </c:barChart>
      <c:catAx>
        <c:axId val="796575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cuisine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6577520"/>
        <c:crosses val="autoZero"/>
        <c:auto val="1"/>
        <c:lblAlgn val="ctr"/>
        <c:lblOffset val="100"/>
        <c:noMultiLvlLbl val="0"/>
      </c:catAx>
      <c:valAx>
        <c:axId val="796577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order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657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 by pearl sethi.xlsv.xlsx]obj2!PivotTable3</c:name>
    <c:fmtId val="4"/>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t>Order type distribution</a:t>
            </a:r>
          </a:p>
        </c:rich>
      </c:tx>
      <c:overlay val="0"/>
      <c:spPr>
        <a:solidFill>
          <a:schemeClr val="bg1"/>
        </a:solid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'obj2'!$B$3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D25-47CA-8C0A-655A2EA3B8C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D25-47CA-8C0A-655A2EA3B8C8}"/>
              </c:ext>
            </c:extLst>
          </c:dPt>
          <c:dLbls>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'obj2'!$A$4:$A$6</c:f>
              <c:strCache>
                <c:ptCount val="2"/>
                <c:pt idx="0">
                  <c:v>Delivery</c:v>
                </c:pt>
                <c:pt idx="1">
                  <c:v>Pickup</c:v>
                </c:pt>
              </c:strCache>
            </c:strRef>
          </c:cat>
          <c:val>
            <c:numRef>
              <c:f>'obj2'!$B$4:$B$6</c:f>
              <c:numCache>
                <c:formatCode>General</c:formatCode>
                <c:ptCount val="2"/>
                <c:pt idx="0">
                  <c:v>39</c:v>
                </c:pt>
                <c:pt idx="1">
                  <c:v>41</c:v>
                </c:pt>
              </c:numCache>
            </c:numRef>
          </c:val>
          <c:extLst>
            <c:ext xmlns:c16="http://schemas.microsoft.com/office/drawing/2014/chart" uri="{C3380CC4-5D6E-409C-BE32-E72D297353CC}">
              <c16:uniqueId val="{00000004-BD25-47CA-8C0A-655A2EA3B8C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 by pearl sethi.xlsv.xlsx]obj 1!PivotTable1</c:name>
    <c:fmtId val="2"/>
  </c:pivotSource>
  <c:chart>
    <c:title>
      <c:tx>
        <c:rich>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r>
              <a:rPr lang="en-US" sz="1600" b="1"/>
              <a:t>Monthy sales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'obj 1'!$B$1</c:f>
              <c:strCache>
                <c:ptCount val="1"/>
                <c:pt idx="0">
                  <c:v>Total</c:v>
                </c:pt>
              </c:strCache>
            </c:strRef>
          </c:tx>
          <c:spPr>
            <a:solidFill>
              <a:schemeClr val="accent1"/>
            </a:solidFill>
            <a:ln>
              <a:noFill/>
            </a:ln>
            <a:effectLst/>
          </c:spPr>
          <c:invertIfNegative val="0"/>
          <c:cat>
            <c:strRef>
              <c:f>'obj 1'!$A$2:$A$64</c:f>
              <c:strCache>
                <c:ptCount val="62"/>
                <c:pt idx="0">
                  <c:v>2025-01-03</c:v>
                </c:pt>
                <c:pt idx="1">
                  <c:v>2025-01-05</c:v>
                </c:pt>
                <c:pt idx="2">
                  <c:v>2025-01-06</c:v>
                </c:pt>
                <c:pt idx="3">
                  <c:v>2025-01-07</c:v>
                </c:pt>
                <c:pt idx="4">
                  <c:v>2025-01-09</c:v>
                </c:pt>
                <c:pt idx="5">
                  <c:v>2025-01-10</c:v>
                </c:pt>
                <c:pt idx="6">
                  <c:v>2025-01-14</c:v>
                </c:pt>
                <c:pt idx="7">
                  <c:v>2025-01-15</c:v>
                </c:pt>
                <c:pt idx="8">
                  <c:v>2025-01-17</c:v>
                </c:pt>
                <c:pt idx="9">
                  <c:v>2025-01-19</c:v>
                </c:pt>
                <c:pt idx="10">
                  <c:v>2025-01-20</c:v>
                </c:pt>
                <c:pt idx="11">
                  <c:v>2025-01-21</c:v>
                </c:pt>
                <c:pt idx="12">
                  <c:v>2025-01-23</c:v>
                </c:pt>
                <c:pt idx="13">
                  <c:v>2025-01-24</c:v>
                </c:pt>
                <c:pt idx="14">
                  <c:v>2025-01-25</c:v>
                </c:pt>
                <c:pt idx="15">
                  <c:v>2025-01-28</c:v>
                </c:pt>
                <c:pt idx="16">
                  <c:v>2025-01-29</c:v>
                </c:pt>
                <c:pt idx="17">
                  <c:v>2025-02-02</c:v>
                </c:pt>
                <c:pt idx="18">
                  <c:v>2025-02-03</c:v>
                </c:pt>
                <c:pt idx="19">
                  <c:v>2025-02-04</c:v>
                </c:pt>
                <c:pt idx="20">
                  <c:v>2025-02-07</c:v>
                </c:pt>
                <c:pt idx="21">
                  <c:v>2025-02-09</c:v>
                </c:pt>
                <c:pt idx="22">
                  <c:v>2025-02-11</c:v>
                </c:pt>
                <c:pt idx="23">
                  <c:v>2025-02-13</c:v>
                </c:pt>
                <c:pt idx="24">
                  <c:v>2025-02-15</c:v>
                </c:pt>
                <c:pt idx="25">
                  <c:v>2025-02-16</c:v>
                </c:pt>
                <c:pt idx="26">
                  <c:v>2025-02-17</c:v>
                </c:pt>
                <c:pt idx="27">
                  <c:v>2025-02-20</c:v>
                </c:pt>
                <c:pt idx="28">
                  <c:v>2025-02-25</c:v>
                </c:pt>
                <c:pt idx="29">
                  <c:v>2025-02-27</c:v>
                </c:pt>
                <c:pt idx="30">
                  <c:v>2025-02-28</c:v>
                </c:pt>
                <c:pt idx="31">
                  <c:v>2025-03-03</c:v>
                </c:pt>
                <c:pt idx="32">
                  <c:v>2025-03-05</c:v>
                </c:pt>
                <c:pt idx="33">
                  <c:v>2025-03-07</c:v>
                </c:pt>
                <c:pt idx="34">
                  <c:v>2025-03-12</c:v>
                </c:pt>
                <c:pt idx="35">
                  <c:v>2025-03-13</c:v>
                </c:pt>
                <c:pt idx="36">
                  <c:v>2025-03-15</c:v>
                </c:pt>
                <c:pt idx="37">
                  <c:v>2025-03-16</c:v>
                </c:pt>
                <c:pt idx="38">
                  <c:v>2025-03-18</c:v>
                </c:pt>
                <c:pt idx="39">
                  <c:v>2025-03-21</c:v>
                </c:pt>
                <c:pt idx="40">
                  <c:v>2025-03-22</c:v>
                </c:pt>
                <c:pt idx="41">
                  <c:v>2025-03-26</c:v>
                </c:pt>
                <c:pt idx="42">
                  <c:v>2025-03-31</c:v>
                </c:pt>
                <c:pt idx="43">
                  <c:v>2025-04-04</c:v>
                </c:pt>
                <c:pt idx="44">
                  <c:v>2025-04-05</c:v>
                </c:pt>
                <c:pt idx="45">
                  <c:v>2025-04-06</c:v>
                </c:pt>
                <c:pt idx="46">
                  <c:v>2025-04-07</c:v>
                </c:pt>
                <c:pt idx="47">
                  <c:v>2025-04-09</c:v>
                </c:pt>
                <c:pt idx="48">
                  <c:v>2025-04-11</c:v>
                </c:pt>
                <c:pt idx="49">
                  <c:v>2025-04-12</c:v>
                </c:pt>
                <c:pt idx="50">
                  <c:v>2025-04-13</c:v>
                </c:pt>
                <c:pt idx="51">
                  <c:v>2025-04-14</c:v>
                </c:pt>
                <c:pt idx="52">
                  <c:v>2025-04-15</c:v>
                </c:pt>
                <c:pt idx="53">
                  <c:v>2025-04-16</c:v>
                </c:pt>
                <c:pt idx="54">
                  <c:v>2025-04-18</c:v>
                </c:pt>
                <c:pt idx="55">
                  <c:v>2025-04-19</c:v>
                </c:pt>
                <c:pt idx="56">
                  <c:v>2025-04-20</c:v>
                </c:pt>
                <c:pt idx="57">
                  <c:v>2025-04-21</c:v>
                </c:pt>
                <c:pt idx="58">
                  <c:v>2025-04-24</c:v>
                </c:pt>
                <c:pt idx="59">
                  <c:v>2025-04-27</c:v>
                </c:pt>
                <c:pt idx="60">
                  <c:v>2025-04-28</c:v>
                </c:pt>
                <c:pt idx="61">
                  <c:v>2025-05-01</c:v>
                </c:pt>
              </c:strCache>
            </c:strRef>
          </c:cat>
          <c:val>
            <c:numRef>
              <c:f>'obj 1'!$B$2:$B$64</c:f>
              <c:numCache>
                <c:formatCode>General</c:formatCode>
                <c:ptCount val="62"/>
                <c:pt idx="0">
                  <c:v>1147</c:v>
                </c:pt>
                <c:pt idx="1">
                  <c:v>631</c:v>
                </c:pt>
                <c:pt idx="2">
                  <c:v>151</c:v>
                </c:pt>
                <c:pt idx="3">
                  <c:v>132</c:v>
                </c:pt>
                <c:pt idx="4">
                  <c:v>1006</c:v>
                </c:pt>
                <c:pt idx="5">
                  <c:v>594</c:v>
                </c:pt>
                <c:pt idx="6">
                  <c:v>341</c:v>
                </c:pt>
                <c:pt idx="7">
                  <c:v>1564</c:v>
                </c:pt>
                <c:pt idx="8">
                  <c:v>1567</c:v>
                </c:pt>
                <c:pt idx="9">
                  <c:v>437</c:v>
                </c:pt>
                <c:pt idx="10">
                  <c:v>773</c:v>
                </c:pt>
                <c:pt idx="11">
                  <c:v>413</c:v>
                </c:pt>
                <c:pt idx="12">
                  <c:v>560</c:v>
                </c:pt>
                <c:pt idx="13">
                  <c:v>157</c:v>
                </c:pt>
                <c:pt idx="14">
                  <c:v>254</c:v>
                </c:pt>
                <c:pt idx="15">
                  <c:v>588</c:v>
                </c:pt>
                <c:pt idx="16">
                  <c:v>548</c:v>
                </c:pt>
                <c:pt idx="17">
                  <c:v>1529</c:v>
                </c:pt>
                <c:pt idx="18">
                  <c:v>2148</c:v>
                </c:pt>
                <c:pt idx="19">
                  <c:v>613</c:v>
                </c:pt>
                <c:pt idx="20">
                  <c:v>1178</c:v>
                </c:pt>
                <c:pt idx="21">
                  <c:v>251</c:v>
                </c:pt>
                <c:pt idx="22">
                  <c:v>890</c:v>
                </c:pt>
                <c:pt idx="23">
                  <c:v>364</c:v>
                </c:pt>
                <c:pt idx="24">
                  <c:v>1786</c:v>
                </c:pt>
                <c:pt idx="25">
                  <c:v>365</c:v>
                </c:pt>
                <c:pt idx="26">
                  <c:v>1315</c:v>
                </c:pt>
                <c:pt idx="27">
                  <c:v>1105</c:v>
                </c:pt>
                <c:pt idx="28">
                  <c:v>941</c:v>
                </c:pt>
                <c:pt idx="29">
                  <c:v>968</c:v>
                </c:pt>
                <c:pt idx="30">
                  <c:v>200</c:v>
                </c:pt>
                <c:pt idx="31">
                  <c:v>498</c:v>
                </c:pt>
                <c:pt idx="32">
                  <c:v>1367</c:v>
                </c:pt>
                <c:pt idx="33">
                  <c:v>587</c:v>
                </c:pt>
                <c:pt idx="34">
                  <c:v>1175</c:v>
                </c:pt>
                <c:pt idx="35">
                  <c:v>798</c:v>
                </c:pt>
                <c:pt idx="36">
                  <c:v>880</c:v>
                </c:pt>
                <c:pt idx="37">
                  <c:v>460</c:v>
                </c:pt>
                <c:pt idx="38">
                  <c:v>1141</c:v>
                </c:pt>
                <c:pt idx="39">
                  <c:v>572</c:v>
                </c:pt>
                <c:pt idx="40">
                  <c:v>232</c:v>
                </c:pt>
                <c:pt idx="41">
                  <c:v>274</c:v>
                </c:pt>
                <c:pt idx="42">
                  <c:v>826</c:v>
                </c:pt>
                <c:pt idx="43">
                  <c:v>231</c:v>
                </c:pt>
                <c:pt idx="44">
                  <c:v>1487</c:v>
                </c:pt>
                <c:pt idx="45">
                  <c:v>1043</c:v>
                </c:pt>
                <c:pt idx="46">
                  <c:v>986</c:v>
                </c:pt>
                <c:pt idx="47">
                  <c:v>1071</c:v>
                </c:pt>
                <c:pt idx="48">
                  <c:v>989</c:v>
                </c:pt>
                <c:pt idx="49">
                  <c:v>720</c:v>
                </c:pt>
                <c:pt idx="50">
                  <c:v>1995</c:v>
                </c:pt>
                <c:pt idx="51">
                  <c:v>1986</c:v>
                </c:pt>
                <c:pt idx="52">
                  <c:v>803</c:v>
                </c:pt>
                <c:pt idx="53">
                  <c:v>1730</c:v>
                </c:pt>
                <c:pt idx="54">
                  <c:v>776</c:v>
                </c:pt>
                <c:pt idx="55">
                  <c:v>432</c:v>
                </c:pt>
                <c:pt idx="56">
                  <c:v>905</c:v>
                </c:pt>
                <c:pt idx="57">
                  <c:v>631</c:v>
                </c:pt>
                <c:pt idx="58">
                  <c:v>906</c:v>
                </c:pt>
                <c:pt idx="59">
                  <c:v>1155</c:v>
                </c:pt>
                <c:pt idx="60">
                  <c:v>265</c:v>
                </c:pt>
                <c:pt idx="61">
                  <c:v>672</c:v>
                </c:pt>
              </c:numCache>
            </c:numRef>
          </c:val>
          <c:extLst>
            <c:ext xmlns:c16="http://schemas.microsoft.com/office/drawing/2014/chart" uri="{C3380CC4-5D6E-409C-BE32-E72D297353CC}">
              <c16:uniqueId val="{00000001-658C-4AB1-97A6-398DB336572F}"/>
            </c:ext>
          </c:extLst>
        </c:ser>
        <c:dLbls>
          <c:dLblPos val="ctr"/>
          <c:showLegendKey val="0"/>
          <c:showVal val="0"/>
          <c:showCatName val="0"/>
          <c:showSerName val="0"/>
          <c:showPercent val="0"/>
          <c:showBubbleSize val="0"/>
        </c:dLbls>
        <c:gapWidth val="150"/>
        <c:overlap val="100"/>
        <c:axId val="796551120"/>
        <c:axId val="796548240"/>
      </c:barChart>
      <c:catAx>
        <c:axId val="796551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6548240"/>
        <c:crosses val="autoZero"/>
        <c:auto val="1"/>
        <c:lblAlgn val="ctr"/>
        <c:lblOffset val="100"/>
        <c:noMultiLvlLbl val="0"/>
      </c:catAx>
      <c:valAx>
        <c:axId val="796548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sum of order vale</a:t>
                </a:r>
              </a:p>
            </c:rich>
          </c:tx>
          <c:layout>
            <c:manualLayout>
              <c:xMode val="edge"/>
              <c:yMode val="edge"/>
              <c:x val="1.9930145603307966E-2"/>
              <c:y val="0.2557542863703122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655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DELIVERY TIME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DELIVERY TIME</a:t>
          </a:r>
        </a:p>
      </cx:txPr>
    </cx:title>
    <cx:plotArea>
      <cx:plotAreaRegion>
        <cx:series layoutId="boxWhisker" uniqueId="{D5DAC47D-043E-4499-931D-E89DD4AD0ED0}">
          <cx:tx>
            <cx:txData>
              <cx:f>_xlchart.v1.0</cx:f>
              <cx:v>DeliveryTime(min)</cx:v>
            </cx:txData>
          </cx:tx>
          <cx:dataLabels>
            <cx:visibility seriesName="0" categoryName="0" value="1"/>
          </cx:dataLabels>
          <cx:dataId val="0"/>
          <cx:layoutPr>
            <cx:visibility meanLine="0" meanMarker="1" nonoutliers="0" outliers="1"/>
            <cx:statistics quartileMethod="exclusive"/>
          </cx:layoutPr>
        </cx:series>
      </cx:plotAreaRegion>
      <cx:axis id="0">
        <cx:catScaling gapWidth="1.5"/>
        <cx:tickLabels/>
      </cx:axis>
      <cx:axis id="1">
        <cx:valScaling/>
        <cx:majorGridlines/>
        <cx:tickLabels/>
      </cx:axis>
    </cx:plotArea>
    <cx:legend pos="b" align="ctr" overlay="0"/>
  </cx:chart>
  <cx:spPr>
    <a:solidFill>
      <a:schemeClr val="lt1"/>
    </a:solidFill>
    <a:ln w="25400" cap="flat" cmpd="sng" algn="ctr">
      <a:solidFill>
        <a:schemeClr val="dk1"/>
      </a:solidFill>
      <a:prstDash val="solid"/>
    </a:ln>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DELIVERY TIME</cx:v>
        </cx:txData>
      </cx:tx>
      <cx:spPr>
        <a:solidFill>
          <a:schemeClr val="bg2"/>
        </a:solidFill>
      </cx:spPr>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DELIVERY TIME</a:t>
          </a:r>
        </a:p>
      </cx:txPr>
    </cx:title>
    <cx:plotArea>
      <cx:plotAreaRegion>
        <cx:series layoutId="boxWhisker" uniqueId="{D5DAC47D-043E-4499-931D-E89DD4AD0ED0}">
          <cx:tx>
            <cx:txData>
              <cx:f>_xlchart.v1.2</cx:f>
              <cx:v>DeliveryTime(min)</cx:v>
            </cx:txData>
          </cx:tx>
          <cx:dataLabels>
            <cx:visibility seriesName="0" categoryName="0" value="1"/>
          </cx:dataLabels>
          <cx:dataId val="0"/>
          <cx:layoutPr>
            <cx:visibility meanLine="0" meanMarker="1" nonoutliers="0" outliers="1"/>
            <cx:statistics quartileMethod="exclusive"/>
          </cx:layoutPr>
        </cx:series>
      </cx:plotAreaRegion>
      <cx:axis id="0">
        <cx:catScaling gapWidth="1.5"/>
        <cx:tickLabels/>
      </cx:axis>
      <cx:axis id="1">
        <cx:valScaling/>
        <cx:majorGridlines/>
        <cx:tickLabels/>
      </cx:axis>
    </cx:plotArea>
    <cx:legend pos="b" align="ctr" overlay="0"/>
  </cx:chart>
  <cx:spPr>
    <a:solidFill>
      <a:schemeClr val="lt1"/>
    </a:solidFill>
    <a:ln w="25400" cap="flat" cmpd="sng" algn="ctr">
      <a:solidFill>
        <a:schemeClr val="dk1"/>
      </a:solidFill>
      <a:prstDash val="solid"/>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microsoft.com/office/2014/relationships/chartEx" Target="../charts/chartEx2.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266706</xdr:colOff>
      <xdr:row>1</xdr:row>
      <xdr:rowOff>140970</xdr:rowOff>
    </xdr:from>
    <xdr:to>
      <xdr:col>9</xdr:col>
      <xdr:colOff>30480</xdr:colOff>
      <xdr:row>15</xdr:row>
      <xdr:rowOff>106680</xdr:rowOff>
    </xdr:to>
    <xdr:graphicFrame macro="">
      <xdr:nvGraphicFramePr>
        <xdr:cNvPr id="2" name="Chart 1">
          <a:extLst>
            <a:ext uri="{FF2B5EF4-FFF2-40B4-BE49-F238E27FC236}">
              <a16:creationId xmlns:a16="http://schemas.microsoft.com/office/drawing/2014/main" id="{AC281685-0784-89D7-98FB-DC38E5FCDE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60960</xdr:colOff>
      <xdr:row>10</xdr:row>
      <xdr:rowOff>133350</xdr:rowOff>
    </xdr:from>
    <xdr:to>
      <xdr:col>16</xdr:col>
      <xdr:colOff>91440</xdr:colOff>
      <xdr:row>25</xdr:row>
      <xdr:rowOff>133350</xdr:rowOff>
    </xdr:to>
    <xdr:graphicFrame macro="">
      <xdr:nvGraphicFramePr>
        <xdr:cNvPr id="3" name="Chart 2">
          <a:extLst>
            <a:ext uri="{FF2B5EF4-FFF2-40B4-BE49-F238E27FC236}">
              <a16:creationId xmlns:a16="http://schemas.microsoft.com/office/drawing/2014/main" id="{0320AA50-F3CB-48F4-30CF-CAD14C7AF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11430</xdr:rowOff>
    </xdr:from>
    <xdr:to>
      <xdr:col>5</xdr:col>
      <xdr:colOff>91440</xdr:colOff>
      <xdr:row>19</xdr:row>
      <xdr:rowOff>60960</xdr:rowOff>
    </xdr:to>
    <xdr:graphicFrame macro="">
      <xdr:nvGraphicFramePr>
        <xdr:cNvPr id="2" name="Chart 1">
          <a:extLst>
            <a:ext uri="{FF2B5EF4-FFF2-40B4-BE49-F238E27FC236}">
              <a16:creationId xmlns:a16="http://schemas.microsoft.com/office/drawing/2014/main" id="{532E0E5D-0D3E-941D-F70C-F11D1C3CE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396240</xdr:colOff>
      <xdr:row>7</xdr:row>
      <xdr:rowOff>160020</xdr:rowOff>
    </xdr:from>
    <xdr:to>
      <xdr:col>11</xdr:col>
      <xdr:colOff>0</xdr:colOff>
      <xdr:row>21</xdr:row>
      <xdr:rowOff>179070</xdr:rowOff>
    </xdr:to>
    <xdr:graphicFrame macro="">
      <xdr:nvGraphicFramePr>
        <xdr:cNvPr id="3" name="Chart 2">
          <a:extLst>
            <a:ext uri="{FF2B5EF4-FFF2-40B4-BE49-F238E27FC236}">
              <a16:creationId xmlns:a16="http://schemas.microsoft.com/office/drawing/2014/main" id="{0D58327B-5214-1B36-8291-3E4D77288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12</xdr:row>
      <xdr:rowOff>118110</xdr:rowOff>
    </xdr:from>
    <xdr:to>
      <xdr:col>6</xdr:col>
      <xdr:colOff>91440</xdr:colOff>
      <xdr:row>27</xdr:row>
      <xdr:rowOff>118110</xdr:rowOff>
    </xdr:to>
    <xdr:graphicFrame macro="">
      <xdr:nvGraphicFramePr>
        <xdr:cNvPr id="2" name="Chart 1">
          <a:extLst>
            <a:ext uri="{FF2B5EF4-FFF2-40B4-BE49-F238E27FC236}">
              <a16:creationId xmlns:a16="http://schemas.microsoft.com/office/drawing/2014/main" id="{D1EC0DC3-E4D5-F80C-859D-B57E9AFB27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320046</xdr:colOff>
      <xdr:row>7</xdr:row>
      <xdr:rowOff>156210</xdr:rowOff>
    </xdr:from>
    <xdr:to>
      <xdr:col>12</xdr:col>
      <xdr:colOff>533406</xdr:colOff>
      <xdr:row>22</xdr:row>
      <xdr:rowOff>156210</xdr:rowOff>
    </xdr:to>
    <xdr:graphicFrame macro="">
      <xdr:nvGraphicFramePr>
        <xdr:cNvPr id="3" name="Chart 2">
          <a:extLst>
            <a:ext uri="{FF2B5EF4-FFF2-40B4-BE49-F238E27FC236}">
              <a16:creationId xmlns:a16="http://schemas.microsoft.com/office/drawing/2014/main" id="{A99FFE0F-D4D4-783A-C5B8-BCF778AE0E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15246</xdr:colOff>
      <xdr:row>9</xdr:row>
      <xdr:rowOff>102870</xdr:rowOff>
    </xdr:from>
    <xdr:to>
      <xdr:col>5</xdr:col>
      <xdr:colOff>83826</xdr:colOff>
      <xdr:row>24</xdr:row>
      <xdr:rowOff>102870</xdr:rowOff>
    </xdr:to>
    <xdr:graphicFrame macro="">
      <xdr:nvGraphicFramePr>
        <xdr:cNvPr id="2" name="Chart 1">
          <a:extLst>
            <a:ext uri="{FF2B5EF4-FFF2-40B4-BE49-F238E27FC236}">
              <a16:creationId xmlns:a16="http://schemas.microsoft.com/office/drawing/2014/main" id="{5B9D4DF8-AAA6-D696-19AB-A2EE084A5D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380999</xdr:colOff>
      <xdr:row>5</xdr:row>
      <xdr:rowOff>78474</xdr:rowOff>
    </xdr:from>
    <xdr:to>
      <xdr:col>12</xdr:col>
      <xdr:colOff>506104</xdr:colOff>
      <xdr:row>20</xdr:row>
      <xdr:rowOff>92122</xdr:rowOff>
    </xdr:to>
    <xdr:graphicFrame macro="">
      <xdr:nvGraphicFramePr>
        <xdr:cNvPr id="3" name="Chart 2">
          <a:extLst>
            <a:ext uri="{FF2B5EF4-FFF2-40B4-BE49-F238E27FC236}">
              <a16:creationId xmlns:a16="http://schemas.microsoft.com/office/drawing/2014/main" id="{014CBD29-8125-A7F7-317F-D9C81EBE8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566616</xdr:colOff>
      <xdr:row>7</xdr:row>
      <xdr:rowOff>5861</xdr:rowOff>
    </xdr:from>
    <xdr:to>
      <xdr:col>13</xdr:col>
      <xdr:colOff>293077</xdr:colOff>
      <xdr:row>21</xdr:row>
      <xdr:rowOff>150446</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DE0871B-7F3E-79F8-B7CD-4339F3D443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16231" y="1305169"/>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366889</xdr:colOff>
      <xdr:row>16</xdr:row>
      <xdr:rowOff>90240</xdr:rowOff>
    </xdr:from>
    <xdr:to>
      <xdr:col>14</xdr:col>
      <xdr:colOff>268111</xdr:colOff>
      <xdr:row>29</xdr:row>
      <xdr:rowOff>155222</xdr:rowOff>
    </xdr:to>
    <xdr:pic>
      <xdr:nvPicPr>
        <xdr:cNvPr id="2" name="Picture 1" descr="Zomato Logo">
          <a:extLst>
            <a:ext uri="{FF2B5EF4-FFF2-40B4-BE49-F238E27FC236}">
              <a16:creationId xmlns:a16="http://schemas.microsoft.com/office/drawing/2014/main" id="{AD481592-5707-722A-61C3-F541720A27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0778" y="3124129"/>
          <a:ext cx="5362222" cy="2449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570279</xdr:colOff>
      <xdr:row>7</xdr:row>
      <xdr:rowOff>1221</xdr:rowOff>
    </xdr:from>
    <xdr:to>
      <xdr:col>20</xdr:col>
      <xdr:colOff>582002</xdr:colOff>
      <xdr:row>15</xdr:row>
      <xdr:rowOff>31750</xdr:rowOff>
    </xdr:to>
    <mc:AlternateContent xmlns:mc="http://schemas.openxmlformats.org/markup-compatibility/2006">
      <mc:Choice xmlns:a14="http://schemas.microsoft.com/office/drawing/2010/main" Requires="a14">
        <xdr:graphicFrame macro="">
          <xdr:nvGraphicFramePr>
            <xdr:cNvPr id="3" name="OrderType 1">
              <a:extLst>
                <a:ext uri="{FF2B5EF4-FFF2-40B4-BE49-F238E27FC236}">
                  <a16:creationId xmlns:a16="http://schemas.microsoft.com/office/drawing/2014/main" id="{881960F4-CE79-4665-BB0E-C10D2AC8F81F}"/>
                </a:ext>
              </a:extLst>
            </xdr:cNvPr>
            <xdr:cNvGraphicFramePr/>
          </xdr:nvGraphicFramePr>
          <xdr:xfrm>
            <a:off x="0" y="0"/>
            <a:ext cx="0" cy="0"/>
          </xdr:xfrm>
          <a:graphic>
            <a:graphicData uri="http://schemas.microsoft.com/office/drawing/2010/slicer">
              <sle:slicer xmlns:sle="http://schemas.microsoft.com/office/drawing/2010/slicer" name="OrderType 1"/>
            </a:graphicData>
          </a:graphic>
        </xdr:graphicFrame>
      </mc:Choice>
      <mc:Fallback>
        <xdr:sp macro="" textlink="">
          <xdr:nvSpPr>
            <xdr:cNvPr id="0" name=""/>
            <xdr:cNvSpPr>
              <a:spLocks noTextEdit="1"/>
            </xdr:cNvSpPr>
          </xdr:nvSpPr>
          <xdr:spPr>
            <a:xfrm>
              <a:off x="10885501" y="1285332"/>
              <a:ext cx="1832057" cy="1596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595923</xdr:colOff>
      <xdr:row>16</xdr:row>
      <xdr:rowOff>125780</xdr:rowOff>
    </xdr:from>
    <xdr:to>
      <xdr:col>21</xdr:col>
      <xdr:colOff>1954</xdr:colOff>
      <xdr:row>29</xdr:row>
      <xdr:rowOff>95250</xdr:rowOff>
    </xdr:to>
    <mc:AlternateContent xmlns:mc="http://schemas.openxmlformats.org/markup-compatibility/2006">
      <mc:Choice xmlns:a14="http://schemas.microsoft.com/office/drawing/2010/main" Requires="a14">
        <xdr:graphicFrame macro="">
          <xdr:nvGraphicFramePr>
            <xdr:cNvPr id="4" name="Cuisine 1">
              <a:extLst>
                <a:ext uri="{FF2B5EF4-FFF2-40B4-BE49-F238E27FC236}">
                  <a16:creationId xmlns:a16="http://schemas.microsoft.com/office/drawing/2014/main" id="{5C60CB57-1E9C-4A4B-BEC9-168E38FB00C7}"/>
                </a:ext>
              </a:extLst>
            </xdr:cNvPr>
            <xdr:cNvGraphicFramePr/>
          </xdr:nvGraphicFramePr>
          <xdr:xfrm>
            <a:off x="0" y="0"/>
            <a:ext cx="0" cy="0"/>
          </xdr:xfrm>
          <a:graphic>
            <a:graphicData uri="http://schemas.microsoft.com/office/drawing/2010/slicer">
              <sle:slicer xmlns:sle="http://schemas.microsoft.com/office/drawing/2010/slicer" name="Cuisine 1"/>
            </a:graphicData>
          </a:graphic>
        </xdr:graphicFrame>
      </mc:Choice>
      <mc:Fallback>
        <xdr:sp macro="" textlink="">
          <xdr:nvSpPr>
            <xdr:cNvPr id="0" name=""/>
            <xdr:cNvSpPr>
              <a:spLocks noTextEdit="1"/>
            </xdr:cNvSpPr>
          </xdr:nvSpPr>
          <xdr:spPr>
            <a:xfrm>
              <a:off x="10911145" y="3159669"/>
              <a:ext cx="1833142" cy="2354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595923</xdr:colOff>
      <xdr:row>29</xdr:row>
      <xdr:rowOff>188058</xdr:rowOff>
    </xdr:from>
    <xdr:to>
      <xdr:col>21</xdr:col>
      <xdr:colOff>1954</xdr:colOff>
      <xdr:row>38</xdr:row>
      <xdr:rowOff>142876</xdr:rowOff>
    </xdr:to>
    <mc:AlternateContent xmlns:mc="http://schemas.openxmlformats.org/markup-compatibility/2006">
      <mc:Choice xmlns:a14="http://schemas.microsoft.com/office/drawing/2010/main" Requires="a14">
        <xdr:graphicFrame macro="">
          <xdr:nvGraphicFramePr>
            <xdr:cNvPr id="5" name="City 1">
              <a:extLst>
                <a:ext uri="{FF2B5EF4-FFF2-40B4-BE49-F238E27FC236}">
                  <a16:creationId xmlns:a16="http://schemas.microsoft.com/office/drawing/2014/main" id="{DB8A2354-C627-4166-B4EE-00E19C8A06F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0911145" y="5599105"/>
              <a:ext cx="1833142" cy="1613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6648</xdr:colOff>
      <xdr:row>39</xdr:row>
      <xdr:rowOff>34599</xdr:rowOff>
    </xdr:from>
    <xdr:to>
      <xdr:col>21</xdr:col>
      <xdr:colOff>18371</xdr:colOff>
      <xdr:row>49</xdr:row>
      <xdr:rowOff>0</xdr:rowOff>
    </xdr:to>
    <mc:AlternateContent xmlns:mc="http://schemas.openxmlformats.org/markup-compatibility/2006">
      <mc:Choice xmlns:a14="http://schemas.microsoft.com/office/drawing/2010/main" Requires="a14">
        <xdr:graphicFrame macro="">
          <xdr:nvGraphicFramePr>
            <xdr:cNvPr id="6" name="Status">
              <a:extLst>
                <a:ext uri="{FF2B5EF4-FFF2-40B4-BE49-F238E27FC236}">
                  <a16:creationId xmlns:a16="http://schemas.microsoft.com/office/drawing/2014/main" id="{FFD96161-DEE6-49C7-98FB-D531A6C9296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0928648" y="7287710"/>
              <a:ext cx="1832056" cy="1799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444500</xdr:colOff>
      <xdr:row>6</xdr:row>
      <xdr:rowOff>158750</xdr:rowOff>
    </xdr:from>
    <xdr:to>
      <xdr:col>6</xdr:col>
      <xdr:colOff>142876</xdr:colOff>
      <xdr:row>24</xdr:row>
      <xdr:rowOff>28223</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B668F6E5-805D-4873-B21E-0A8C3B85E8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51278" y="1259417"/>
              <a:ext cx="2732265" cy="3270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169333</xdr:colOff>
      <xdr:row>40</xdr:row>
      <xdr:rowOff>28222</xdr:rowOff>
    </xdr:from>
    <xdr:to>
      <xdr:col>18</xdr:col>
      <xdr:colOff>0</xdr:colOff>
      <xdr:row>49</xdr:row>
      <xdr:rowOff>28222</xdr:rowOff>
    </xdr:to>
    <xdr:graphicFrame macro="">
      <xdr:nvGraphicFramePr>
        <xdr:cNvPr id="8" name="Chart 7">
          <a:extLst>
            <a:ext uri="{FF2B5EF4-FFF2-40B4-BE49-F238E27FC236}">
              <a16:creationId xmlns:a16="http://schemas.microsoft.com/office/drawing/2014/main" id="{5C6BAA13-E4A9-4E9A-B7A4-0F5B9A77A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127000</xdr:colOff>
      <xdr:row>27</xdr:row>
      <xdr:rowOff>174624</xdr:rowOff>
    </xdr:from>
    <xdr:to>
      <xdr:col>17</xdr:col>
      <xdr:colOff>571499</xdr:colOff>
      <xdr:row>40</xdr:row>
      <xdr:rowOff>-1</xdr:rowOff>
    </xdr:to>
    <xdr:graphicFrame macro="">
      <xdr:nvGraphicFramePr>
        <xdr:cNvPr id="9" name="Chart 8">
          <a:extLst>
            <a:ext uri="{FF2B5EF4-FFF2-40B4-BE49-F238E27FC236}">
              <a16:creationId xmlns:a16="http://schemas.microsoft.com/office/drawing/2014/main" id="{D52410FF-803F-4CD6-BA02-95E02E868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162277</xdr:colOff>
      <xdr:row>6</xdr:row>
      <xdr:rowOff>158749</xdr:rowOff>
    </xdr:from>
    <xdr:to>
      <xdr:col>12</xdr:col>
      <xdr:colOff>211667</xdr:colOff>
      <xdr:row>21</xdr:row>
      <xdr:rowOff>174624</xdr:rowOff>
    </xdr:to>
    <xdr:graphicFrame macro="">
      <xdr:nvGraphicFramePr>
        <xdr:cNvPr id="10" name="Chart 9">
          <a:extLst>
            <a:ext uri="{FF2B5EF4-FFF2-40B4-BE49-F238E27FC236}">
              <a16:creationId xmlns:a16="http://schemas.microsoft.com/office/drawing/2014/main" id="{605F63D2-1789-494C-B649-CA0974FE5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381000</xdr:colOff>
      <xdr:row>37</xdr:row>
      <xdr:rowOff>111125</xdr:rowOff>
    </xdr:from>
    <xdr:to>
      <xdr:col>11</xdr:col>
      <xdr:colOff>141111</xdr:colOff>
      <xdr:row>49</xdr:row>
      <xdr:rowOff>15875</xdr:rowOff>
    </xdr:to>
    <xdr:graphicFrame macro="">
      <xdr:nvGraphicFramePr>
        <xdr:cNvPr id="11" name="Chart 10">
          <a:extLst>
            <a:ext uri="{FF2B5EF4-FFF2-40B4-BE49-F238E27FC236}">
              <a16:creationId xmlns:a16="http://schemas.microsoft.com/office/drawing/2014/main" id="{714F1451-BB56-4F75-8B57-8C2766B09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239889</xdr:colOff>
      <xdr:row>15</xdr:row>
      <xdr:rowOff>95250</xdr:rowOff>
    </xdr:from>
    <xdr:to>
      <xdr:col>17</xdr:col>
      <xdr:colOff>576579</xdr:colOff>
      <xdr:row>27</xdr:row>
      <xdr:rowOff>183443</xdr:rowOff>
    </xdr:to>
    <xdr:graphicFrame macro="">
      <xdr:nvGraphicFramePr>
        <xdr:cNvPr id="12" name="Chart 11">
          <a:extLst>
            <a:ext uri="{FF2B5EF4-FFF2-40B4-BE49-F238E27FC236}">
              <a16:creationId xmlns:a16="http://schemas.microsoft.com/office/drawing/2014/main" id="{2EFC627D-B68B-4B04-BE6C-7BD0A0A37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222249</xdr:colOff>
      <xdr:row>6</xdr:row>
      <xdr:rowOff>174625</xdr:rowOff>
    </xdr:from>
    <xdr:to>
      <xdr:col>17</xdr:col>
      <xdr:colOff>522604</xdr:colOff>
      <xdr:row>15</xdr:row>
      <xdr:rowOff>76835</xdr:rowOff>
    </xdr:to>
    <xdr:graphicFrame macro="">
      <xdr:nvGraphicFramePr>
        <xdr:cNvPr id="13" name="Chart 12">
          <a:extLst>
            <a:ext uri="{FF2B5EF4-FFF2-40B4-BE49-F238E27FC236}">
              <a16:creationId xmlns:a16="http://schemas.microsoft.com/office/drawing/2014/main" id="{E0F5461B-EA9F-46C2-86F7-A1C6D3BF8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444499</xdr:colOff>
      <xdr:row>24</xdr:row>
      <xdr:rowOff>79374</xdr:rowOff>
    </xdr:from>
    <xdr:to>
      <xdr:col>11</xdr:col>
      <xdr:colOff>141111</xdr:colOff>
      <xdr:row>37</xdr:row>
      <xdr:rowOff>127000</xdr:rowOff>
    </xdr:to>
    <xdr:graphicFrame macro="">
      <xdr:nvGraphicFramePr>
        <xdr:cNvPr id="14" name="Chart 13">
          <a:extLst>
            <a:ext uri="{FF2B5EF4-FFF2-40B4-BE49-F238E27FC236}">
              <a16:creationId xmlns:a16="http://schemas.microsoft.com/office/drawing/2014/main" id="{0BF1690C-A819-449B-93C6-73AE72DFB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15240</xdr:colOff>
      <xdr:row>2</xdr:row>
      <xdr:rowOff>114300</xdr:rowOff>
    </xdr:from>
    <xdr:to>
      <xdr:col>6</xdr:col>
      <xdr:colOff>15240</xdr:colOff>
      <xdr:row>16</xdr:row>
      <xdr:rowOff>20955</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B0A8C8C0-F707-0AB7-B44D-6BF6F83B9FE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844040" y="480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266700</xdr:colOff>
      <xdr:row>18</xdr:row>
      <xdr:rowOff>99060</xdr:rowOff>
    </xdr:from>
    <xdr:to>
      <xdr:col>5</xdr:col>
      <xdr:colOff>266700</xdr:colOff>
      <xdr:row>32</xdr:row>
      <xdr:rowOff>5715</xdr:rowOff>
    </xdr:to>
    <mc:AlternateContent xmlns:mc="http://schemas.openxmlformats.org/markup-compatibility/2006">
      <mc:Choice xmlns:a14="http://schemas.microsoft.com/office/drawing/2010/main" Requires="a14">
        <xdr:graphicFrame macro="">
          <xdr:nvGraphicFramePr>
            <xdr:cNvPr id="3" name="Cuisine">
              <a:extLst>
                <a:ext uri="{FF2B5EF4-FFF2-40B4-BE49-F238E27FC236}">
                  <a16:creationId xmlns:a16="http://schemas.microsoft.com/office/drawing/2014/main" id="{46D0C788-4D78-652B-FEF0-70674D5896A4}"/>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dr:sp macro="" textlink="">
          <xdr:nvSpPr>
            <xdr:cNvPr id="0" name=""/>
            <xdr:cNvSpPr>
              <a:spLocks noTextEdit="1"/>
            </xdr:cNvSpPr>
          </xdr:nvSpPr>
          <xdr:spPr>
            <a:xfrm>
              <a:off x="1485900" y="3390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601980</xdr:colOff>
      <xdr:row>18</xdr:row>
      <xdr:rowOff>121920</xdr:rowOff>
    </xdr:from>
    <xdr:to>
      <xdr:col>8</xdr:col>
      <xdr:colOff>601980</xdr:colOff>
      <xdr:row>32</xdr:row>
      <xdr:rowOff>28575</xdr:rowOff>
    </xdr:to>
    <mc:AlternateContent xmlns:mc="http://schemas.openxmlformats.org/markup-compatibility/2006">
      <mc:Choice xmlns:a14="http://schemas.microsoft.com/office/drawing/2010/main" Requires="a14">
        <xdr:graphicFrame macro="">
          <xdr:nvGraphicFramePr>
            <xdr:cNvPr id="4" name="OrderType">
              <a:extLst>
                <a:ext uri="{FF2B5EF4-FFF2-40B4-BE49-F238E27FC236}">
                  <a16:creationId xmlns:a16="http://schemas.microsoft.com/office/drawing/2014/main" id="{65312124-A962-9D7B-6628-23B2253FA609}"/>
                </a:ext>
              </a:extLst>
            </xdr:cNvPr>
            <xdr:cNvGraphicFramePr/>
          </xdr:nvGraphicFramePr>
          <xdr:xfrm>
            <a:off x="0" y="0"/>
            <a:ext cx="0" cy="0"/>
          </xdr:xfrm>
          <a:graphic>
            <a:graphicData uri="http://schemas.microsoft.com/office/drawing/2010/slicer">
              <sle:slicer xmlns:sle="http://schemas.microsoft.com/office/drawing/2010/slicer" name="OrderType"/>
            </a:graphicData>
          </a:graphic>
        </xdr:graphicFrame>
      </mc:Choice>
      <mc:Fallback>
        <xdr:sp macro="" textlink="">
          <xdr:nvSpPr>
            <xdr:cNvPr id="0" name=""/>
            <xdr:cNvSpPr>
              <a:spLocks noTextEdit="1"/>
            </xdr:cNvSpPr>
          </xdr:nvSpPr>
          <xdr:spPr>
            <a:xfrm>
              <a:off x="3649980" y="3413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arl Sethi" refreshedDate="46025.690459722224" createdVersion="8" refreshedVersion="8" minRefreshableVersion="3" recordCount="80" xr:uid="{558EE066-A1DD-4D04-A588-155C545C69BC}">
  <cacheSource type="worksheet">
    <worksheetSource ref="A1:L81" sheet="dataset"/>
  </cacheSource>
  <cacheFields count="12">
    <cacheField name="OrderID" numFmtId="0">
      <sharedItems containsSemiMixedTypes="0" containsString="0" containsNumber="1" containsInteger="1" minValue="1" maxValue="80"/>
    </cacheField>
    <cacheField name="Date" numFmtId="0">
      <sharedItems count="62">
        <s v="2025-01-19"/>
        <s v="2025-01-23"/>
        <s v="2025-01-03"/>
        <s v="2025-03-05"/>
        <s v="2025-03-16"/>
        <s v="2025-03-26"/>
        <s v="2025-02-15"/>
        <s v="2025-01-15"/>
        <s v="2025-02-20"/>
        <s v="2025-04-05"/>
        <s v="2025-04-14"/>
        <s v="2025-01-09"/>
        <s v="2025-02-11"/>
        <s v="2025-04-06"/>
        <s v="2025-04-27"/>
        <s v="2025-04-24"/>
        <s v="2025-04-20"/>
        <s v="2025-01-20"/>
        <s v="2025-03-13"/>
        <s v="2025-02-02"/>
        <s v="2025-03-21"/>
        <s v="2025-01-05"/>
        <s v="2025-02-07"/>
        <s v="2025-02-25"/>
        <s v="2025-04-21"/>
        <s v="2025-01-29"/>
        <s v="2025-04-11"/>
        <s v="2025-04-16"/>
        <s v="2025-01-14"/>
        <s v="2025-03-22"/>
        <s v="2025-04-12"/>
        <s v="2025-04-04"/>
        <s v="2025-01-21"/>
        <s v="2025-03-18"/>
        <s v="2025-02-17"/>
        <s v="2025-04-13"/>
        <s v="2025-04-28"/>
        <s v="2025-03-07"/>
        <s v="2025-02-03"/>
        <s v="2025-01-24"/>
        <s v="2025-01-17"/>
        <s v="2025-02-28"/>
        <s v="2025-04-15"/>
        <s v="2025-02-04"/>
        <s v="2025-03-31"/>
        <s v="2025-03-12"/>
        <s v="2025-01-06"/>
        <s v="2025-01-10"/>
        <s v="2025-02-16"/>
        <s v="2025-01-07"/>
        <s v="2025-02-13"/>
        <s v="2025-05-01"/>
        <s v="2025-03-15"/>
        <s v="2025-02-27"/>
        <s v="2025-04-18"/>
        <s v="2025-04-19"/>
        <s v="2025-01-28"/>
        <s v="2025-04-09"/>
        <s v="2025-01-25"/>
        <s v="2025-02-09"/>
        <s v="2025-03-03"/>
        <s v="2025-04-07"/>
      </sharedItems>
    </cacheField>
    <cacheField name="City" numFmtId="0">
      <sharedItems count="4">
        <s v="Bengaluru"/>
        <s v="Pune"/>
        <s v="Mumbai"/>
        <s v="Delhi"/>
      </sharedItems>
    </cacheField>
    <cacheField name="Restaurant" numFmtId="0">
      <sharedItems count="6">
        <s v="Spice Route"/>
        <s v="Biryani House"/>
        <s v="Burger Hub"/>
        <s v="Food Palace"/>
        <s v="Pizza World"/>
        <s v="Chinese Corner"/>
      </sharedItems>
    </cacheField>
    <cacheField name="Cuisine" numFmtId="0">
      <sharedItems count="5">
        <s v="Chinese"/>
        <s v="Burger"/>
        <s v="North Indian"/>
        <s v="Pizza"/>
        <s v="Biryani"/>
      </sharedItems>
    </cacheField>
    <cacheField name="OrderType" numFmtId="0">
      <sharedItems count="2">
        <s v="Pickup"/>
        <s v="Delivery"/>
      </sharedItems>
    </cacheField>
    <cacheField name="Items" numFmtId="0">
      <sharedItems containsSemiMixedTypes="0" containsString="0" containsNumber="1" containsInteger="1" minValue="1" maxValue="6"/>
    </cacheField>
    <cacheField name="OrderValue" numFmtId="0">
      <sharedItems containsSemiMixedTypes="0" containsString="0" containsNumber="1" containsInteger="1" minValue="132" maxValue="1175" count="78">
        <n v="437"/>
        <n v="560"/>
        <n v="1147"/>
        <n v="348"/>
        <n v="460"/>
        <n v="274"/>
        <n v="821"/>
        <n v="635"/>
        <n v="1105"/>
        <n v="664"/>
        <n v="839"/>
        <n v="243"/>
        <n v="890"/>
        <n v="1043"/>
        <n v="998"/>
        <n v="906"/>
        <n v="905"/>
        <n v="773"/>
        <n v="798"/>
        <n v="662"/>
        <n v="572"/>
        <n v="631"/>
        <n v="443"/>
        <n v="941"/>
        <n v="823"/>
        <n v="548"/>
        <n v="929"/>
        <n v="367"/>
        <n v="593"/>
        <n v="341"/>
        <n v="622"/>
        <n v="232"/>
        <n v="867"/>
        <n v="720"/>
        <n v="231"/>
        <n v="413"/>
        <n v="1141"/>
        <n v="399"/>
        <n v="842"/>
        <n v="530"/>
        <n v="265"/>
        <n v="587"/>
        <n v="728"/>
        <n v="157"/>
        <n v="468"/>
        <n v="546"/>
        <n v="358"/>
        <n v="200"/>
        <n v="763"/>
        <n v="803"/>
        <n v="613"/>
        <n v="473"/>
        <n v="826"/>
        <n v="1062"/>
        <n v="1175"/>
        <n v="735"/>
        <n v="919"/>
        <n v="748"/>
        <n v="151"/>
        <n v="594"/>
        <n v="1019"/>
        <n v="1099"/>
        <n v="365"/>
        <n v="1137"/>
        <n v="132"/>
        <n v="364"/>
        <n v="672"/>
        <n v="880"/>
        <n v="968"/>
        <n v="965"/>
        <n v="776"/>
        <n v="432"/>
        <n v="588"/>
        <n v="1071"/>
        <n v="254"/>
        <n v="251"/>
        <n v="498"/>
        <n v="986"/>
      </sharedItems>
    </cacheField>
    <cacheField name="Discount" numFmtId="0">
      <sharedItems containsSemiMixedTypes="0" containsString="0" containsNumber="1" containsInteger="1" minValue="0" maxValue="40" count="8">
        <n v="40"/>
        <n v="25"/>
        <n v="0"/>
        <n v="15"/>
        <n v="30"/>
        <n v="20"/>
        <n v="10"/>
        <n v="5"/>
      </sharedItems>
    </cacheField>
    <cacheField name="DeliveryTime(min)" numFmtId="0">
      <sharedItems containsSemiMixedTypes="0" containsString="0" containsNumber="1" containsInteger="1" minValue="15" maxValue="60"/>
    </cacheField>
    <cacheField name="Rating" numFmtId="0">
      <sharedItems containsSemiMixedTypes="0" containsString="0" containsNumber="1" containsInteger="1" minValue="1" maxValue="5" count="5">
        <n v="1"/>
        <n v="3"/>
        <n v="4"/>
        <n v="2"/>
        <n v="5"/>
      </sharedItems>
    </cacheField>
    <cacheField name="Status" numFmtId="0">
      <sharedItems count="2">
        <s v="Delivered"/>
        <s v="Cancelled"/>
      </sharedItems>
    </cacheField>
  </cacheFields>
  <extLst>
    <ext xmlns:x14="http://schemas.microsoft.com/office/spreadsheetml/2009/9/main" uri="{725AE2AE-9491-48be-B2B4-4EB974FC3084}">
      <x14:pivotCacheDefinition pivotCacheId="8858332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n v="1"/>
    <x v="0"/>
    <x v="0"/>
    <x v="0"/>
    <x v="0"/>
    <x v="0"/>
    <n v="4"/>
    <x v="0"/>
    <x v="0"/>
    <n v="39"/>
    <x v="0"/>
    <x v="0"/>
  </r>
  <r>
    <n v="2"/>
    <x v="1"/>
    <x v="1"/>
    <x v="1"/>
    <x v="1"/>
    <x v="1"/>
    <n v="5"/>
    <x v="1"/>
    <x v="1"/>
    <n v="22"/>
    <x v="1"/>
    <x v="1"/>
  </r>
  <r>
    <n v="3"/>
    <x v="2"/>
    <x v="1"/>
    <x v="2"/>
    <x v="0"/>
    <x v="1"/>
    <n v="4"/>
    <x v="2"/>
    <x v="2"/>
    <n v="48"/>
    <x v="2"/>
    <x v="0"/>
  </r>
  <r>
    <n v="4"/>
    <x v="3"/>
    <x v="0"/>
    <x v="1"/>
    <x v="2"/>
    <x v="1"/>
    <n v="5"/>
    <x v="3"/>
    <x v="3"/>
    <n v="57"/>
    <x v="3"/>
    <x v="0"/>
  </r>
  <r>
    <n v="5"/>
    <x v="4"/>
    <x v="2"/>
    <x v="3"/>
    <x v="0"/>
    <x v="1"/>
    <n v="4"/>
    <x v="4"/>
    <x v="4"/>
    <n v="55"/>
    <x v="4"/>
    <x v="0"/>
  </r>
  <r>
    <n v="6"/>
    <x v="5"/>
    <x v="2"/>
    <x v="3"/>
    <x v="0"/>
    <x v="1"/>
    <n v="1"/>
    <x v="5"/>
    <x v="1"/>
    <n v="41"/>
    <x v="2"/>
    <x v="1"/>
  </r>
  <r>
    <n v="7"/>
    <x v="6"/>
    <x v="2"/>
    <x v="3"/>
    <x v="1"/>
    <x v="0"/>
    <n v="6"/>
    <x v="6"/>
    <x v="2"/>
    <n v="19"/>
    <x v="2"/>
    <x v="0"/>
  </r>
  <r>
    <n v="8"/>
    <x v="7"/>
    <x v="2"/>
    <x v="2"/>
    <x v="3"/>
    <x v="0"/>
    <n v="6"/>
    <x v="7"/>
    <x v="5"/>
    <n v="57"/>
    <x v="2"/>
    <x v="1"/>
  </r>
  <r>
    <n v="9"/>
    <x v="8"/>
    <x v="2"/>
    <x v="2"/>
    <x v="2"/>
    <x v="0"/>
    <n v="1"/>
    <x v="8"/>
    <x v="6"/>
    <n v="22"/>
    <x v="4"/>
    <x v="0"/>
  </r>
  <r>
    <n v="10"/>
    <x v="9"/>
    <x v="0"/>
    <x v="4"/>
    <x v="4"/>
    <x v="0"/>
    <n v="4"/>
    <x v="9"/>
    <x v="6"/>
    <n v="23"/>
    <x v="1"/>
    <x v="0"/>
  </r>
  <r>
    <n v="11"/>
    <x v="10"/>
    <x v="3"/>
    <x v="1"/>
    <x v="4"/>
    <x v="1"/>
    <n v="2"/>
    <x v="10"/>
    <x v="0"/>
    <n v="51"/>
    <x v="3"/>
    <x v="0"/>
  </r>
  <r>
    <n v="12"/>
    <x v="11"/>
    <x v="0"/>
    <x v="4"/>
    <x v="3"/>
    <x v="1"/>
    <n v="2"/>
    <x v="11"/>
    <x v="6"/>
    <n v="24"/>
    <x v="1"/>
    <x v="0"/>
  </r>
  <r>
    <n v="13"/>
    <x v="12"/>
    <x v="3"/>
    <x v="1"/>
    <x v="2"/>
    <x v="0"/>
    <n v="2"/>
    <x v="12"/>
    <x v="7"/>
    <n v="47"/>
    <x v="2"/>
    <x v="0"/>
  </r>
  <r>
    <n v="14"/>
    <x v="13"/>
    <x v="3"/>
    <x v="3"/>
    <x v="1"/>
    <x v="1"/>
    <n v="6"/>
    <x v="13"/>
    <x v="1"/>
    <n v="32"/>
    <x v="3"/>
    <x v="0"/>
  </r>
  <r>
    <n v="15"/>
    <x v="14"/>
    <x v="0"/>
    <x v="2"/>
    <x v="4"/>
    <x v="1"/>
    <n v="6"/>
    <x v="14"/>
    <x v="0"/>
    <n v="19"/>
    <x v="0"/>
    <x v="0"/>
  </r>
  <r>
    <n v="16"/>
    <x v="15"/>
    <x v="0"/>
    <x v="5"/>
    <x v="0"/>
    <x v="0"/>
    <n v="2"/>
    <x v="15"/>
    <x v="2"/>
    <n v="46"/>
    <x v="1"/>
    <x v="1"/>
  </r>
  <r>
    <n v="17"/>
    <x v="16"/>
    <x v="1"/>
    <x v="4"/>
    <x v="3"/>
    <x v="0"/>
    <n v="1"/>
    <x v="16"/>
    <x v="4"/>
    <n v="56"/>
    <x v="4"/>
    <x v="0"/>
  </r>
  <r>
    <n v="18"/>
    <x v="17"/>
    <x v="0"/>
    <x v="2"/>
    <x v="0"/>
    <x v="0"/>
    <n v="6"/>
    <x v="17"/>
    <x v="6"/>
    <n v="44"/>
    <x v="0"/>
    <x v="0"/>
  </r>
  <r>
    <n v="19"/>
    <x v="18"/>
    <x v="0"/>
    <x v="1"/>
    <x v="3"/>
    <x v="0"/>
    <n v="6"/>
    <x v="18"/>
    <x v="7"/>
    <n v="27"/>
    <x v="2"/>
    <x v="0"/>
  </r>
  <r>
    <n v="20"/>
    <x v="19"/>
    <x v="2"/>
    <x v="0"/>
    <x v="4"/>
    <x v="0"/>
    <n v="5"/>
    <x v="19"/>
    <x v="0"/>
    <n v="27"/>
    <x v="3"/>
    <x v="0"/>
  </r>
  <r>
    <n v="21"/>
    <x v="20"/>
    <x v="1"/>
    <x v="4"/>
    <x v="3"/>
    <x v="1"/>
    <n v="1"/>
    <x v="20"/>
    <x v="1"/>
    <n v="44"/>
    <x v="3"/>
    <x v="0"/>
  </r>
  <r>
    <n v="22"/>
    <x v="21"/>
    <x v="0"/>
    <x v="4"/>
    <x v="0"/>
    <x v="0"/>
    <n v="6"/>
    <x v="21"/>
    <x v="6"/>
    <n v="38"/>
    <x v="4"/>
    <x v="0"/>
  </r>
  <r>
    <n v="23"/>
    <x v="22"/>
    <x v="2"/>
    <x v="4"/>
    <x v="1"/>
    <x v="1"/>
    <n v="3"/>
    <x v="22"/>
    <x v="7"/>
    <n v="20"/>
    <x v="2"/>
    <x v="0"/>
  </r>
  <r>
    <n v="24"/>
    <x v="23"/>
    <x v="0"/>
    <x v="0"/>
    <x v="0"/>
    <x v="0"/>
    <n v="2"/>
    <x v="23"/>
    <x v="0"/>
    <n v="17"/>
    <x v="3"/>
    <x v="0"/>
  </r>
  <r>
    <n v="25"/>
    <x v="24"/>
    <x v="1"/>
    <x v="3"/>
    <x v="3"/>
    <x v="0"/>
    <n v="3"/>
    <x v="21"/>
    <x v="5"/>
    <n v="36"/>
    <x v="1"/>
    <x v="0"/>
  </r>
  <r>
    <n v="26"/>
    <x v="9"/>
    <x v="3"/>
    <x v="0"/>
    <x v="0"/>
    <x v="1"/>
    <n v="1"/>
    <x v="24"/>
    <x v="2"/>
    <n v="34"/>
    <x v="2"/>
    <x v="0"/>
  </r>
  <r>
    <n v="27"/>
    <x v="25"/>
    <x v="3"/>
    <x v="4"/>
    <x v="4"/>
    <x v="1"/>
    <n v="4"/>
    <x v="25"/>
    <x v="0"/>
    <n v="16"/>
    <x v="3"/>
    <x v="0"/>
  </r>
  <r>
    <n v="28"/>
    <x v="7"/>
    <x v="2"/>
    <x v="0"/>
    <x v="0"/>
    <x v="0"/>
    <n v="3"/>
    <x v="26"/>
    <x v="0"/>
    <n v="30"/>
    <x v="2"/>
    <x v="0"/>
  </r>
  <r>
    <n v="29"/>
    <x v="26"/>
    <x v="1"/>
    <x v="0"/>
    <x v="1"/>
    <x v="1"/>
    <n v="4"/>
    <x v="27"/>
    <x v="2"/>
    <n v="50"/>
    <x v="3"/>
    <x v="0"/>
  </r>
  <r>
    <n v="30"/>
    <x v="27"/>
    <x v="2"/>
    <x v="0"/>
    <x v="1"/>
    <x v="0"/>
    <n v="3"/>
    <x v="28"/>
    <x v="3"/>
    <n v="28"/>
    <x v="4"/>
    <x v="0"/>
  </r>
  <r>
    <n v="31"/>
    <x v="28"/>
    <x v="2"/>
    <x v="0"/>
    <x v="1"/>
    <x v="1"/>
    <n v="5"/>
    <x v="29"/>
    <x v="0"/>
    <n v="58"/>
    <x v="4"/>
    <x v="0"/>
  </r>
  <r>
    <n v="32"/>
    <x v="26"/>
    <x v="2"/>
    <x v="4"/>
    <x v="1"/>
    <x v="1"/>
    <n v="6"/>
    <x v="30"/>
    <x v="0"/>
    <n v="20"/>
    <x v="1"/>
    <x v="0"/>
  </r>
  <r>
    <n v="33"/>
    <x v="29"/>
    <x v="2"/>
    <x v="3"/>
    <x v="1"/>
    <x v="0"/>
    <n v="1"/>
    <x v="31"/>
    <x v="4"/>
    <n v="17"/>
    <x v="3"/>
    <x v="0"/>
  </r>
  <r>
    <n v="34"/>
    <x v="19"/>
    <x v="0"/>
    <x v="0"/>
    <x v="4"/>
    <x v="0"/>
    <n v="4"/>
    <x v="32"/>
    <x v="5"/>
    <n v="53"/>
    <x v="0"/>
    <x v="0"/>
  </r>
  <r>
    <n v="35"/>
    <x v="30"/>
    <x v="3"/>
    <x v="1"/>
    <x v="3"/>
    <x v="1"/>
    <n v="6"/>
    <x v="33"/>
    <x v="3"/>
    <n v="16"/>
    <x v="1"/>
    <x v="0"/>
  </r>
  <r>
    <n v="36"/>
    <x v="31"/>
    <x v="3"/>
    <x v="2"/>
    <x v="0"/>
    <x v="0"/>
    <n v="2"/>
    <x v="34"/>
    <x v="5"/>
    <n v="25"/>
    <x v="3"/>
    <x v="0"/>
  </r>
  <r>
    <n v="37"/>
    <x v="32"/>
    <x v="0"/>
    <x v="3"/>
    <x v="4"/>
    <x v="0"/>
    <n v="6"/>
    <x v="35"/>
    <x v="2"/>
    <n v="54"/>
    <x v="2"/>
    <x v="0"/>
  </r>
  <r>
    <n v="38"/>
    <x v="33"/>
    <x v="1"/>
    <x v="4"/>
    <x v="1"/>
    <x v="0"/>
    <n v="5"/>
    <x v="36"/>
    <x v="2"/>
    <n v="38"/>
    <x v="0"/>
    <x v="0"/>
  </r>
  <r>
    <n v="39"/>
    <x v="10"/>
    <x v="0"/>
    <x v="5"/>
    <x v="1"/>
    <x v="1"/>
    <n v="1"/>
    <x v="37"/>
    <x v="7"/>
    <n v="42"/>
    <x v="2"/>
    <x v="0"/>
  </r>
  <r>
    <n v="40"/>
    <x v="34"/>
    <x v="1"/>
    <x v="0"/>
    <x v="2"/>
    <x v="1"/>
    <n v="1"/>
    <x v="38"/>
    <x v="5"/>
    <n v="26"/>
    <x v="0"/>
    <x v="0"/>
  </r>
  <r>
    <n v="41"/>
    <x v="35"/>
    <x v="3"/>
    <x v="3"/>
    <x v="3"/>
    <x v="0"/>
    <n v="5"/>
    <x v="39"/>
    <x v="3"/>
    <n v="54"/>
    <x v="2"/>
    <x v="0"/>
  </r>
  <r>
    <n v="42"/>
    <x v="36"/>
    <x v="3"/>
    <x v="0"/>
    <x v="4"/>
    <x v="1"/>
    <n v="1"/>
    <x v="40"/>
    <x v="5"/>
    <n v="56"/>
    <x v="3"/>
    <x v="0"/>
  </r>
  <r>
    <n v="43"/>
    <x v="37"/>
    <x v="1"/>
    <x v="4"/>
    <x v="0"/>
    <x v="0"/>
    <n v="5"/>
    <x v="41"/>
    <x v="0"/>
    <n v="47"/>
    <x v="2"/>
    <x v="0"/>
  </r>
  <r>
    <n v="44"/>
    <x v="38"/>
    <x v="3"/>
    <x v="4"/>
    <x v="1"/>
    <x v="0"/>
    <n v="5"/>
    <x v="42"/>
    <x v="5"/>
    <n v="20"/>
    <x v="0"/>
    <x v="1"/>
  </r>
  <r>
    <n v="45"/>
    <x v="39"/>
    <x v="0"/>
    <x v="5"/>
    <x v="4"/>
    <x v="0"/>
    <n v="5"/>
    <x v="43"/>
    <x v="2"/>
    <n v="41"/>
    <x v="0"/>
    <x v="1"/>
  </r>
  <r>
    <n v="46"/>
    <x v="40"/>
    <x v="3"/>
    <x v="2"/>
    <x v="3"/>
    <x v="0"/>
    <n v="3"/>
    <x v="44"/>
    <x v="5"/>
    <n v="41"/>
    <x v="0"/>
    <x v="0"/>
  </r>
  <r>
    <n v="47"/>
    <x v="35"/>
    <x v="2"/>
    <x v="4"/>
    <x v="2"/>
    <x v="0"/>
    <n v="3"/>
    <x v="45"/>
    <x v="6"/>
    <n v="16"/>
    <x v="3"/>
    <x v="0"/>
  </r>
  <r>
    <n v="48"/>
    <x v="38"/>
    <x v="2"/>
    <x v="3"/>
    <x v="4"/>
    <x v="0"/>
    <n v="1"/>
    <x v="46"/>
    <x v="5"/>
    <n v="22"/>
    <x v="3"/>
    <x v="0"/>
  </r>
  <r>
    <n v="49"/>
    <x v="41"/>
    <x v="2"/>
    <x v="5"/>
    <x v="0"/>
    <x v="0"/>
    <n v="2"/>
    <x v="47"/>
    <x v="2"/>
    <n v="57"/>
    <x v="2"/>
    <x v="0"/>
  </r>
  <r>
    <n v="50"/>
    <x v="11"/>
    <x v="2"/>
    <x v="1"/>
    <x v="3"/>
    <x v="0"/>
    <n v="4"/>
    <x v="48"/>
    <x v="2"/>
    <n v="49"/>
    <x v="3"/>
    <x v="0"/>
  </r>
  <r>
    <n v="51"/>
    <x v="42"/>
    <x v="3"/>
    <x v="2"/>
    <x v="1"/>
    <x v="1"/>
    <n v="3"/>
    <x v="49"/>
    <x v="3"/>
    <n v="15"/>
    <x v="4"/>
    <x v="0"/>
  </r>
  <r>
    <n v="52"/>
    <x v="43"/>
    <x v="1"/>
    <x v="3"/>
    <x v="3"/>
    <x v="1"/>
    <n v="6"/>
    <x v="50"/>
    <x v="6"/>
    <n v="30"/>
    <x v="1"/>
    <x v="0"/>
  </r>
  <r>
    <n v="53"/>
    <x v="34"/>
    <x v="0"/>
    <x v="1"/>
    <x v="4"/>
    <x v="1"/>
    <n v="5"/>
    <x v="51"/>
    <x v="6"/>
    <n v="45"/>
    <x v="0"/>
    <x v="0"/>
  </r>
  <r>
    <n v="54"/>
    <x v="44"/>
    <x v="3"/>
    <x v="3"/>
    <x v="4"/>
    <x v="1"/>
    <n v="2"/>
    <x v="52"/>
    <x v="0"/>
    <n v="48"/>
    <x v="2"/>
    <x v="0"/>
  </r>
  <r>
    <n v="55"/>
    <x v="38"/>
    <x v="0"/>
    <x v="2"/>
    <x v="1"/>
    <x v="0"/>
    <n v="4"/>
    <x v="53"/>
    <x v="3"/>
    <n v="60"/>
    <x v="3"/>
    <x v="1"/>
  </r>
  <r>
    <n v="56"/>
    <x v="45"/>
    <x v="2"/>
    <x v="4"/>
    <x v="2"/>
    <x v="1"/>
    <n v="2"/>
    <x v="54"/>
    <x v="0"/>
    <n v="30"/>
    <x v="4"/>
    <x v="0"/>
  </r>
  <r>
    <n v="57"/>
    <x v="22"/>
    <x v="2"/>
    <x v="2"/>
    <x v="2"/>
    <x v="1"/>
    <n v="3"/>
    <x v="55"/>
    <x v="7"/>
    <n v="47"/>
    <x v="2"/>
    <x v="0"/>
  </r>
  <r>
    <n v="58"/>
    <x v="35"/>
    <x v="2"/>
    <x v="1"/>
    <x v="3"/>
    <x v="0"/>
    <n v="1"/>
    <x v="56"/>
    <x v="0"/>
    <n v="30"/>
    <x v="2"/>
    <x v="1"/>
  </r>
  <r>
    <n v="59"/>
    <x v="10"/>
    <x v="0"/>
    <x v="2"/>
    <x v="0"/>
    <x v="0"/>
    <n v="1"/>
    <x v="57"/>
    <x v="0"/>
    <n v="37"/>
    <x v="0"/>
    <x v="0"/>
  </r>
  <r>
    <n v="60"/>
    <x v="46"/>
    <x v="2"/>
    <x v="0"/>
    <x v="3"/>
    <x v="1"/>
    <n v="3"/>
    <x v="58"/>
    <x v="2"/>
    <n v="47"/>
    <x v="1"/>
    <x v="0"/>
  </r>
  <r>
    <n v="61"/>
    <x v="47"/>
    <x v="2"/>
    <x v="3"/>
    <x v="3"/>
    <x v="1"/>
    <n v="5"/>
    <x v="59"/>
    <x v="7"/>
    <n v="22"/>
    <x v="2"/>
    <x v="0"/>
  </r>
  <r>
    <n v="62"/>
    <x v="3"/>
    <x v="0"/>
    <x v="4"/>
    <x v="3"/>
    <x v="1"/>
    <n v="5"/>
    <x v="60"/>
    <x v="2"/>
    <n v="46"/>
    <x v="2"/>
    <x v="0"/>
  </r>
  <r>
    <n v="63"/>
    <x v="40"/>
    <x v="1"/>
    <x v="3"/>
    <x v="0"/>
    <x v="1"/>
    <n v="4"/>
    <x v="61"/>
    <x v="2"/>
    <n v="49"/>
    <x v="3"/>
    <x v="0"/>
  </r>
  <r>
    <n v="64"/>
    <x v="48"/>
    <x v="0"/>
    <x v="3"/>
    <x v="0"/>
    <x v="1"/>
    <n v="5"/>
    <x v="62"/>
    <x v="4"/>
    <n v="36"/>
    <x v="0"/>
    <x v="0"/>
  </r>
  <r>
    <n v="65"/>
    <x v="27"/>
    <x v="1"/>
    <x v="4"/>
    <x v="3"/>
    <x v="0"/>
    <n v="2"/>
    <x v="63"/>
    <x v="4"/>
    <n v="45"/>
    <x v="3"/>
    <x v="0"/>
  </r>
  <r>
    <n v="66"/>
    <x v="49"/>
    <x v="2"/>
    <x v="2"/>
    <x v="0"/>
    <x v="1"/>
    <n v="5"/>
    <x v="64"/>
    <x v="3"/>
    <n v="22"/>
    <x v="0"/>
    <x v="0"/>
  </r>
  <r>
    <n v="67"/>
    <x v="50"/>
    <x v="2"/>
    <x v="3"/>
    <x v="3"/>
    <x v="0"/>
    <n v="6"/>
    <x v="65"/>
    <x v="0"/>
    <n v="32"/>
    <x v="1"/>
    <x v="0"/>
  </r>
  <r>
    <n v="68"/>
    <x v="51"/>
    <x v="1"/>
    <x v="3"/>
    <x v="0"/>
    <x v="1"/>
    <n v="3"/>
    <x v="66"/>
    <x v="1"/>
    <n v="33"/>
    <x v="3"/>
    <x v="1"/>
  </r>
  <r>
    <n v="69"/>
    <x v="52"/>
    <x v="3"/>
    <x v="3"/>
    <x v="3"/>
    <x v="1"/>
    <n v="2"/>
    <x v="67"/>
    <x v="3"/>
    <n v="19"/>
    <x v="1"/>
    <x v="0"/>
  </r>
  <r>
    <n v="70"/>
    <x v="53"/>
    <x v="1"/>
    <x v="0"/>
    <x v="3"/>
    <x v="1"/>
    <n v="4"/>
    <x v="68"/>
    <x v="3"/>
    <n v="26"/>
    <x v="2"/>
    <x v="0"/>
  </r>
  <r>
    <n v="71"/>
    <x v="6"/>
    <x v="3"/>
    <x v="5"/>
    <x v="4"/>
    <x v="0"/>
    <n v="4"/>
    <x v="69"/>
    <x v="2"/>
    <n v="38"/>
    <x v="4"/>
    <x v="0"/>
  </r>
  <r>
    <n v="72"/>
    <x v="54"/>
    <x v="3"/>
    <x v="0"/>
    <x v="4"/>
    <x v="0"/>
    <n v="1"/>
    <x v="70"/>
    <x v="0"/>
    <n v="45"/>
    <x v="0"/>
    <x v="0"/>
  </r>
  <r>
    <n v="73"/>
    <x v="55"/>
    <x v="0"/>
    <x v="2"/>
    <x v="0"/>
    <x v="1"/>
    <n v="2"/>
    <x v="71"/>
    <x v="2"/>
    <n v="56"/>
    <x v="1"/>
    <x v="1"/>
  </r>
  <r>
    <n v="74"/>
    <x v="56"/>
    <x v="2"/>
    <x v="3"/>
    <x v="3"/>
    <x v="0"/>
    <n v="6"/>
    <x v="72"/>
    <x v="3"/>
    <n v="22"/>
    <x v="4"/>
    <x v="0"/>
  </r>
  <r>
    <n v="75"/>
    <x v="57"/>
    <x v="3"/>
    <x v="2"/>
    <x v="1"/>
    <x v="0"/>
    <n v="5"/>
    <x v="73"/>
    <x v="4"/>
    <n v="28"/>
    <x v="4"/>
    <x v="0"/>
  </r>
  <r>
    <n v="76"/>
    <x v="14"/>
    <x v="0"/>
    <x v="3"/>
    <x v="4"/>
    <x v="1"/>
    <n v="1"/>
    <x v="43"/>
    <x v="6"/>
    <n v="56"/>
    <x v="0"/>
    <x v="0"/>
  </r>
  <r>
    <n v="77"/>
    <x v="58"/>
    <x v="0"/>
    <x v="4"/>
    <x v="2"/>
    <x v="1"/>
    <n v="4"/>
    <x v="74"/>
    <x v="2"/>
    <n v="16"/>
    <x v="0"/>
    <x v="1"/>
  </r>
  <r>
    <n v="78"/>
    <x v="59"/>
    <x v="0"/>
    <x v="2"/>
    <x v="4"/>
    <x v="1"/>
    <n v="2"/>
    <x v="75"/>
    <x v="1"/>
    <n v="41"/>
    <x v="3"/>
    <x v="0"/>
  </r>
  <r>
    <n v="79"/>
    <x v="60"/>
    <x v="0"/>
    <x v="3"/>
    <x v="2"/>
    <x v="0"/>
    <n v="2"/>
    <x v="76"/>
    <x v="1"/>
    <n v="33"/>
    <x v="0"/>
    <x v="0"/>
  </r>
  <r>
    <n v="80"/>
    <x v="61"/>
    <x v="3"/>
    <x v="2"/>
    <x v="0"/>
    <x v="0"/>
    <n v="6"/>
    <x v="77"/>
    <x v="3"/>
    <n v="49"/>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BC80B9-5885-45E8-95B6-195D41102149}"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3:M10" firstHeaderRow="1" firstDataRow="1" firstDataCol="1" rowPageCount="1" colPageCount="1"/>
  <pivotFields count="12">
    <pivotField showAll="0"/>
    <pivotField showAll="0"/>
    <pivotField axis="axisPage" multipleItemSelectionAllowed="1" showAll="0">
      <items count="5">
        <item x="0"/>
        <item x="3"/>
        <item x="2"/>
        <item x="1"/>
        <item t="default"/>
      </items>
    </pivotField>
    <pivotField axis="axisRow" showAll="0">
      <items count="7">
        <item x="1"/>
        <item x="2"/>
        <item x="5"/>
        <item x="3"/>
        <item x="4"/>
        <item x="0"/>
        <item t="default"/>
      </items>
    </pivotField>
    <pivotField showAll="0"/>
    <pivotField showAll="0"/>
    <pivotField showAll="0"/>
    <pivotField dataField="1" showAll="0"/>
    <pivotField showAll="0"/>
    <pivotField showAll="0"/>
    <pivotField showAll="0"/>
    <pivotField showAll="0"/>
  </pivotFields>
  <rowFields count="1">
    <field x="3"/>
  </rowFields>
  <rowItems count="7">
    <i>
      <x/>
    </i>
    <i>
      <x v="1"/>
    </i>
    <i>
      <x v="2"/>
    </i>
    <i>
      <x v="3"/>
    </i>
    <i>
      <x v="4"/>
    </i>
    <i>
      <x v="5"/>
    </i>
    <i t="grand">
      <x/>
    </i>
  </rowItems>
  <colItems count="1">
    <i/>
  </colItems>
  <pageFields count="1">
    <pageField fld="2" hier="-1"/>
  </pageFields>
  <dataFields count="1">
    <dataField name="Sum of OrderValu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45B232-F6BF-406B-9CBA-5F0C0DD212A2}"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ate">
  <location ref="A1:B64" firstHeaderRow="1" firstDataRow="1" firstDataCol="1"/>
  <pivotFields count="12">
    <pivotField showAll="0"/>
    <pivotField axis="axisRow" showAll="0">
      <items count="63">
        <item x="2"/>
        <item x="21"/>
        <item x="46"/>
        <item x="49"/>
        <item x="11"/>
        <item x="47"/>
        <item x="28"/>
        <item x="7"/>
        <item x="40"/>
        <item x="0"/>
        <item x="17"/>
        <item x="32"/>
        <item x="1"/>
        <item x="39"/>
        <item x="58"/>
        <item x="56"/>
        <item x="25"/>
        <item x="19"/>
        <item x="38"/>
        <item x="43"/>
        <item x="22"/>
        <item x="59"/>
        <item x="12"/>
        <item x="50"/>
        <item x="6"/>
        <item x="48"/>
        <item x="34"/>
        <item x="8"/>
        <item x="23"/>
        <item x="53"/>
        <item x="41"/>
        <item x="60"/>
        <item x="3"/>
        <item x="37"/>
        <item x="45"/>
        <item x="18"/>
        <item x="52"/>
        <item x="4"/>
        <item x="33"/>
        <item x="20"/>
        <item x="29"/>
        <item x="5"/>
        <item x="44"/>
        <item x="31"/>
        <item x="9"/>
        <item x="13"/>
        <item x="61"/>
        <item x="57"/>
        <item x="26"/>
        <item x="30"/>
        <item x="35"/>
        <item x="10"/>
        <item x="42"/>
        <item x="27"/>
        <item x="54"/>
        <item x="55"/>
        <item x="16"/>
        <item x="24"/>
        <item x="15"/>
        <item x="14"/>
        <item x="36"/>
        <item x="51"/>
        <item t="default"/>
      </items>
    </pivotField>
    <pivotField showAll="0"/>
    <pivotField showAll="0"/>
    <pivotField showAll="0"/>
    <pivotField showAll="0"/>
    <pivotField showAll="0"/>
    <pivotField dataField="1" showAll="0">
      <items count="79">
        <item x="64"/>
        <item x="58"/>
        <item x="43"/>
        <item x="47"/>
        <item x="34"/>
        <item x="31"/>
        <item x="11"/>
        <item x="75"/>
        <item x="74"/>
        <item x="40"/>
        <item x="5"/>
        <item x="29"/>
        <item x="3"/>
        <item x="46"/>
        <item x="65"/>
        <item x="62"/>
        <item x="27"/>
        <item x="37"/>
        <item x="35"/>
        <item x="71"/>
        <item x="0"/>
        <item x="22"/>
        <item x="4"/>
        <item x="44"/>
        <item x="51"/>
        <item x="76"/>
        <item x="39"/>
        <item x="45"/>
        <item x="25"/>
        <item x="1"/>
        <item x="20"/>
        <item x="41"/>
        <item x="72"/>
        <item x="28"/>
        <item x="59"/>
        <item x="50"/>
        <item x="30"/>
        <item x="21"/>
        <item x="7"/>
        <item x="19"/>
        <item x="9"/>
        <item x="66"/>
        <item x="33"/>
        <item x="42"/>
        <item x="55"/>
        <item x="57"/>
        <item x="48"/>
        <item x="17"/>
        <item x="70"/>
        <item x="18"/>
        <item x="49"/>
        <item x="6"/>
        <item x="24"/>
        <item x="52"/>
        <item x="10"/>
        <item x="38"/>
        <item x="32"/>
        <item x="67"/>
        <item x="12"/>
        <item x="16"/>
        <item x="15"/>
        <item x="56"/>
        <item x="26"/>
        <item x="23"/>
        <item x="69"/>
        <item x="68"/>
        <item x="77"/>
        <item x="14"/>
        <item x="60"/>
        <item x="13"/>
        <item x="53"/>
        <item x="73"/>
        <item x="61"/>
        <item x="8"/>
        <item x="63"/>
        <item x="36"/>
        <item x="2"/>
        <item x="54"/>
        <item t="default"/>
      </items>
    </pivotField>
    <pivotField showAll="0"/>
    <pivotField showAll="0"/>
    <pivotField showAll="0"/>
    <pivotField showAll="0"/>
  </pivotFields>
  <rowFields count="1">
    <field x="1"/>
  </rowFields>
  <row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t="grand">
      <x/>
    </i>
  </rowItems>
  <colItems count="1">
    <i/>
  </colItems>
  <dataFields count="1">
    <dataField name="Sum of OrderValue"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27971F-63B1-45E0-BADE-9334E82E7ED7}"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uisine">
  <location ref="H1:I7" firstHeaderRow="1" firstDataRow="1" firstDataCol="1"/>
  <pivotFields count="12">
    <pivotField showAll="0"/>
    <pivotField showAll="0"/>
    <pivotField showAll="0"/>
    <pivotField showAll="0"/>
    <pivotField axis="axisRow" showAll="0">
      <items count="6">
        <item x="4"/>
        <item x="1"/>
        <item x="0"/>
        <item x="2"/>
        <item x="3"/>
        <item t="default"/>
      </items>
    </pivotField>
    <pivotField showAll="0"/>
    <pivotField showAll="0"/>
    <pivotField dataField="1" showAll="0"/>
    <pivotField showAll="0"/>
    <pivotField showAll="0"/>
    <pivotField showAll="0"/>
    <pivotField showAll="0"/>
  </pivotFields>
  <rowFields count="1">
    <field x="4"/>
  </rowFields>
  <rowItems count="6">
    <i>
      <x/>
    </i>
    <i>
      <x v="1"/>
    </i>
    <i>
      <x v="2"/>
    </i>
    <i>
      <x v="3"/>
    </i>
    <i>
      <x v="4"/>
    </i>
    <i t="grand">
      <x/>
    </i>
  </rowItems>
  <colItems count="1">
    <i/>
  </colItems>
  <dataFields count="1">
    <dataField name="Average of OrderValue" fld="7" subtotal="average" baseField="4"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0C8B61-863E-4136-95DE-BB6CDF820DC6}"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order type">
  <location ref="A3:B6" firstHeaderRow="1" firstDataRow="1" firstDataCol="1"/>
  <pivotFields count="12">
    <pivotField dataField="1"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Count of OrderID" fld="0" subtotal="count" baseField="5" baseItem="0"/>
  </dataField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5" count="1" selected="0">
            <x v="0"/>
          </reference>
        </references>
      </pivotArea>
    </chartFormat>
    <chartFormat chart="4"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F67B8B-DD99-41AE-94E1-3E91647F8A6E}"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ating">
  <location ref="I1:J7" firstHeaderRow="1" firstDataRow="1" firstDataCol="1"/>
  <pivotFields count="12">
    <pivotField dataField="1" showAll="0"/>
    <pivotField showAll="0"/>
    <pivotField showAll="0"/>
    <pivotField showAll="0"/>
    <pivotField showAll="0"/>
    <pivotField showAll="0"/>
    <pivotField showAll="0"/>
    <pivotField showAll="0"/>
    <pivotField showAll="0"/>
    <pivotField showAll="0"/>
    <pivotField axis="axisRow" showAll="0">
      <items count="6">
        <item x="0"/>
        <item x="3"/>
        <item x="1"/>
        <item x="2"/>
        <item x="4"/>
        <item t="default"/>
      </items>
    </pivotField>
    <pivotField showAll="0"/>
  </pivotFields>
  <rowFields count="1">
    <field x="10"/>
  </rowFields>
  <rowItems count="6">
    <i>
      <x/>
    </i>
    <i>
      <x v="1"/>
    </i>
    <i>
      <x v="2"/>
    </i>
    <i>
      <x v="3"/>
    </i>
    <i>
      <x v="4"/>
    </i>
    <i t="grand">
      <x/>
    </i>
  </rowItems>
  <colItems count="1">
    <i/>
  </colItems>
  <dataFields count="1">
    <dataField name="Count of OrderID" fld="0" subtotal="count" baseField="0" baseItem="0"/>
  </dataField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0" count="1" selected="0">
            <x v="0"/>
          </reference>
        </references>
      </pivotArea>
    </chartFormat>
    <chartFormat chart="4" format="9">
      <pivotArea type="data" outline="0" fieldPosition="0">
        <references count="2">
          <reference field="4294967294" count="1" selected="0">
            <x v="0"/>
          </reference>
          <reference field="10" count="1" selected="0">
            <x v="1"/>
          </reference>
        </references>
      </pivotArea>
    </chartFormat>
    <chartFormat chart="4" format="10">
      <pivotArea type="data" outline="0" fieldPosition="0">
        <references count="2">
          <reference field="4294967294" count="1" selected="0">
            <x v="0"/>
          </reference>
          <reference field="10" count="1" selected="0">
            <x v="2"/>
          </reference>
        </references>
      </pivotArea>
    </chartFormat>
    <chartFormat chart="4" format="11">
      <pivotArea type="data" outline="0" fieldPosition="0">
        <references count="2">
          <reference field="4294967294" count="1" selected="0">
            <x v="0"/>
          </reference>
          <reference field="10" count="1" selected="0">
            <x v="3"/>
          </reference>
        </references>
      </pivotArea>
    </chartFormat>
    <chartFormat chart="4"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8DF910-1172-490E-867D-9130711011A2}"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iscount">
  <location ref="A3:B12" firstHeaderRow="1" firstDataRow="1" firstDataCol="1"/>
  <pivotFields count="12">
    <pivotField showAll="0"/>
    <pivotField showAll="0"/>
    <pivotField showAll="0"/>
    <pivotField showAll="0"/>
    <pivotField showAll="0"/>
    <pivotField showAll="0"/>
    <pivotField showAll="0"/>
    <pivotField dataField="1" showAll="0"/>
    <pivotField axis="axisRow" showAll="0">
      <items count="9">
        <item x="2"/>
        <item x="7"/>
        <item x="6"/>
        <item x="3"/>
        <item x="5"/>
        <item x="1"/>
        <item x="4"/>
        <item x="0"/>
        <item t="default"/>
      </items>
    </pivotField>
    <pivotField showAll="0"/>
    <pivotField showAll="0"/>
    <pivotField showAll="0"/>
  </pivotFields>
  <rowFields count="1">
    <field x="8"/>
  </rowFields>
  <rowItems count="9">
    <i>
      <x/>
    </i>
    <i>
      <x v="1"/>
    </i>
    <i>
      <x v="2"/>
    </i>
    <i>
      <x v="3"/>
    </i>
    <i>
      <x v="4"/>
    </i>
    <i>
      <x v="5"/>
    </i>
    <i>
      <x v="6"/>
    </i>
    <i>
      <x v="7"/>
    </i>
    <i t="grand">
      <x/>
    </i>
  </rowItems>
  <colItems count="1">
    <i/>
  </colItems>
  <dataFields count="1">
    <dataField name="Sum of OrderValue"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2ABFBE-8363-49C5-A419-C5E7FCE56391}" name="PivotTable9"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1:J4" firstHeaderRow="1" firstDataRow="1" firstDataCol="1"/>
  <pivotFields count="12">
    <pivotField dataField="1"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11"/>
  </rowFields>
  <rowItems count="3">
    <i>
      <x/>
    </i>
    <i>
      <x v="1"/>
    </i>
    <i t="grand">
      <x/>
    </i>
  </rowItems>
  <colItems count="1">
    <i/>
  </colItems>
  <dataFields count="1">
    <dataField name="Count of OrderID" fld="0" subtotal="count" baseField="11"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1" count="1" selected="0">
            <x v="0"/>
          </reference>
        </references>
      </pivotArea>
    </chartFormat>
    <chartFormat chart="4"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AFA349-DD4F-4DB0-88D5-9F0EA74CDA19}" name="PivotTable8"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2">
    <pivotField showAll="0"/>
    <pivotField showAll="0"/>
    <pivotField axis="axisRow" showAll="0">
      <items count="5">
        <item x="0"/>
        <item x="3"/>
        <item x="2"/>
        <item x="1"/>
        <item t="default"/>
      </items>
    </pivotField>
    <pivotField showAll="0"/>
    <pivotField showAll="0"/>
    <pivotField showAll="0"/>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Average of DeliveryTime(min)" fld="9" subtotal="average" baseField="2"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5A9233-A356-479A-98C7-9C4202B7E0F1}" name="PivotTable1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2">
    <pivotField showAll="0"/>
    <pivotField showAll="0"/>
    <pivotField showAll="0">
      <items count="5">
        <item x="0"/>
        <item x="3"/>
        <item x="2"/>
        <item x="1"/>
        <item t="default"/>
      </items>
    </pivotField>
    <pivotField showAll="0"/>
    <pivotField showAll="0">
      <items count="6">
        <item x="4"/>
        <item h="1" x="1"/>
        <item h="1" x="0"/>
        <item h="1" x="2"/>
        <item h="1" x="3"/>
        <item t="default"/>
      </items>
    </pivotField>
    <pivotField showAll="0">
      <items count="3">
        <item x="1"/>
        <item x="0"/>
        <item t="default"/>
      </items>
    </pivotField>
    <pivotField showAll="0"/>
    <pivotField showAll="0"/>
    <pivotField showAll="0"/>
    <pivotField showAll="0"/>
    <pivotField showAll="0"/>
    <pivotField showAll="0">
      <items count="3">
        <item x="1"/>
        <item x="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1030462-EDB1-40FF-B9B1-AE29C5565674}" sourceName="City">
  <pivotTables>
    <pivotTable tabId="9" name="PivotTable12"/>
  </pivotTables>
  <data>
    <tabular pivotCacheId="885833213">
      <items count="4">
        <i x="0" s="1"/>
        <i x="3" s="1"/>
        <i x="2" s="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6D2D4BDD-9513-4A66-B3ED-B3E0EB4DBC96}" sourceName="Cuisine">
  <pivotTables>
    <pivotTable tabId="9" name="PivotTable12"/>
  </pivotTables>
  <data>
    <tabular pivotCacheId="885833213">
      <items count="5">
        <i x="4" s="1"/>
        <i x="1"/>
        <i x="0"/>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Type" xr10:uid="{74ED3CB2-8D1C-4FA8-8315-0313630EEC06}" sourceName="OrderType">
  <pivotTables>
    <pivotTable tabId="9" name="PivotTable12"/>
  </pivotTables>
  <data>
    <tabular pivotCacheId="885833213">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6255323-EB6F-4470-BEF0-9D6D2C0CBB3C}" sourceName="Status">
  <pivotTables>
    <pivotTable tabId="9" name="PivotTable12"/>
  </pivotTables>
  <data>
    <tabular pivotCacheId="88583321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26FBBBE4-DDD0-417C-9D0E-AA0AE10422C1}" cache="Slicer_City" caption="City" rowHeight="234950"/>
  <slicer name="Cuisine 1" xr10:uid="{8B0F50A3-8FC4-457E-9C13-A1787DEE67B0}" cache="Slicer_Cuisine" caption="Cuisine" rowHeight="234950"/>
  <slicer name="OrderType 1" xr10:uid="{848CE303-7A96-4BFD-9471-E25ADD30550D}" cache="Slicer_OrderType" caption="OrderType" rowHeight="234950"/>
  <slicer name="Status" xr10:uid="{3BCDA059-729E-43DE-9AB6-A66B6C4F12AC}" cache="Slicer_Status" caption="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E5E41E3-D3B7-46FD-86A8-1BBC04AB62BE}" cache="Slicer_City" caption="City" rowHeight="234950"/>
  <slicer name="Cuisine" xr10:uid="{A706E650-455D-495F-8653-C623AFF3E7CC}" cache="Slicer_Cuisine" caption="Cuisine" rowHeight="234950"/>
  <slicer name="OrderType" xr10:uid="{7CB9EFDE-E9E2-48DE-A217-BAA1D7908608}" cache="Slicer_OrderType" caption="OrderType"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1"/>
  <sheetViews>
    <sheetView workbookViewId="0">
      <selection activeCell="N8" sqref="N8"/>
    </sheetView>
  </sheetViews>
  <sheetFormatPr defaultRowHeight="14.4" x14ac:dyDescent="0.3"/>
  <cols>
    <col min="9" max="9" width="4.33203125" customWidth="1"/>
    <col min="10" max="10" width="13.664062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1</v>
      </c>
      <c r="B2" t="s">
        <v>12</v>
      </c>
      <c r="C2" t="s">
        <v>74</v>
      </c>
      <c r="D2" t="s">
        <v>78</v>
      </c>
      <c r="E2" t="s">
        <v>84</v>
      </c>
      <c r="F2" t="s">
        <v>89</v>
      </c>
      <c r="G2">
        <v>4</v>
      </c>
      <c r="H2">
        <v>437</v>
      </c>
      <c r="I2">
        <v>40</v>
      </c>
      <c r="J2">
        <v>39</v>
      </c>
      <c r="K2">
        <v>1</v>
      </c>
      <c r="L2" t="s">
        <v>91</v>
      </c>
    </row>
    <row r="3" spans="1:12" x14ac:dyDescent="0.3">
      <c r="A3">
        <v>2</v>
      </c>
      <c r="B3" t="s">
        <v>13</v>
      </c>
      <c r="C3" t="s">
        <v>75</v>
      </c>
      <c r="D3" t="s">
        <v>79</v>
      </c>
      <c r="E3" t="s">
        <v>85</v>
      </c>
      <c r="F3" t="s">
        <v>90</v>
      </c>
      <c r="G3">
        <v>5</v>
      </c>
      <c r="H3">
        <v>560</v>
      </c>
      <c r="I3">
        <v>25</v>
      </c>
      <c r="J3">
        <v>22</v>
      </c>
      <c r="K3">
        <v>3</v>
      </c>
      <c r="L3" t="s">
        <v>92</v>
      </c>
    </row>
    <row r="4" spans="1:12" x14ac:dyDescent="0.3">
      <c r="A4">
        <v>3</v>
      </c>
      <c r="B4" t="s">
        <v>14</v>
      </c>
      <c r="C4" t="s">
        <v>75</v>
      </c>
      <c r="D4" t="s">
        <v>80</v>
      </c>
      <c r="E4" t="s">
        <v>84</v>
      </c>
      <c r="F4" t="s">
        <v>90</v>
      </c>
      <c r="G4">
        <v>4</v>
      </c>
      <c r="H4">
        <v>1147</v>
      </c>
      <c r="I4">
        <v>0</v>
      </c>
      <c r="J4">
        <v>48</v>
      </c>
      <c r="K4">
        <v>4</v>
      </c>
      <c r="L4" t="s">
        <v>91</v>
      </c>
    </row>
    <row r="5" spans="1:12" x14ac:dyDescent="0.3">
      <c r="A5">
        <v>4</v>
      </c>
      <c r="B5" t="s">
        <v>15</v>
      </c>
      <c r="C5" t="s">
        <v>74</v>
      </c>
      <c r="D5" t="s">
        <v>79</v>
      </c>
      <c r="E5" t="s">
        <v>86</v>
      </c>
      <c r="F5" t="s">
        <v>90</v>
      </c>
      <c r="G5">
        <v>5</v>
      </c>
      <c r="H5">
        <v>348</v>
      </c>
      <c r="I5">
        <v>15</v>
      </c>
      <c r="J5">
        <v>57</v>
      </c>
      <c r="K5">
        <v>2</v>
      </c>
      <c r="L5" t="s">
        <v>91</v>
      </c>
    </row>
    <row r="6" spans="1:12" x14ac:dyDescent="0.3">
      <c r="A6">
        <v>5</v>
      </c>
      <c r="B6" t="s">
        <v>16</v>
      </c>
      <c r="C6" t="s">
        <v>76</v>
      </c>
      <c r="D6" t="s">
        <v>81</v>
      </c>
      <c r="E6" t="s">
        <v>84</v>
      </c>
      <c r="F6" t="s">
        <v>90</v>
      </c>
      <c r="G6">
        <v>4</v>
      </c>
      <c r="H6">
        <v>460</v>
      </c>
      <c r="I6">
        <v>30</v>
      </c>
      <c r="J6">
        <v>55</v>
      </c>
      <c r="K6">
        <v>5</v>
      </c>
      <c r="L6" t="s">
        <v>91</v>
      </c>
    </row>
    <row r="7" spans="1:12" x14ac:dyDescent="0.3">
      <c r="A7">
        <v>6</v>
      </c>
      <c r="B7" t="s">
        <v>17</v>
      </c>
      <c r="C7" t="s">
        <v>76</v>
      </c>
      <c r="D7" t="s">
        <v>81</v>
      </c>
      <c r="E7" t="s">
        <v>84</v>
      </c>
      <c r="F7" t="s">
        <v>90</v>
      </c>
      <c r="G7">
        <v>1</v>
      </c>
      <c r="H7">
        <v>274</v>
      </c>
      <c r="I7">
        <v>25</v>
      </c>
      <c r="J7">
        <v>41</v>
      </c>
      <c r="K7">
        <v>4</v>
      </c>
      <c r="L7" t="s">
        <v>92</v>
      </c>
    </row>
    <row r="8" spans="1:12" x14ac:dyDescent="0.3">
      <c r="A8">
        <v>7</v>
      </c>
      <c r="B8" t="s">
        <v>18</v>
      </c>
      <c r="C8" t="s">
        <v>76</v>
      </c>
      <c r="D8" t="s">
        <v>81</v>
      </c>
      <c r="E8" t="s">
        <v>85</v>
      </c>
      <c r="F8" t="s">
        <v>89</v>
      </c>
      <c r="G8">
        <v>6</v>
      </c>
      <c r="H8">
        <v>821</v>
      </c>
      <c r="I8">
        <v>0</v>
      </c>
      <c r="J8">
        <v>19</v>
      </c>
      <c r="K8">
        <v>4</v>
      </c>
      <c r="L8" t="s">
        <v>91</v>
      </c>
    </row>
    <row r="9" spans="1:12" x14ac:dyDescent="0.3">
      <c r="A9">
        <v>8</v>
      </c>
      <c r="B9" t="s">
        <v>19</v>
      </c>
      <c r="C9" t="s">
        <v>76</v>
      </c>
      <c r="D9" t="s">
        <v>80</v>
      </c>
      <c r="E9" t="s">
        <v>87</v>
      </c>
      <c r="F9" t="s">
        <v>89</v>
      </c>
      <c r="G9">
        <v>6</v>
      </c>
      <c r="H9">
        <v>635</v>
      </c>
      <c r="I9">
        <v>20</v>
      </c>
      <c r="J9">
        <v>57</v>
      </c>
      <c r="K9">
        <v>4</v>
      </c>
      <c r="L9" t="s">
        <v>92</v>
      </c>
    </row>
    <row r="10" spans="1:12" x14ac:dyDescent="0.3">
      <c r="A10">
        <v>9</v>
      </c>
      <c r="B10" t="s">
        <v>20</v>
      </c>
      <c r="C10" t="s">
        <v>76</v>
      </c>
      <c r="D10" t="s">
        <v>80</v>
      </c>
      <c r="E10" t="s">
        <v>86</v>
      </c>
      <c r="F10" t="s">
        <v>89</v>
      </c>
      <c r="G10">
        <v>1</v>
      </c>
      <c r="H10">
        <v>1105</v>
      </c>
      <c r="I10">
        <v>10</v>
      </c>
      <c r="J10">
        <v>22</v>
      </c>
      <c r="K10">
        <v>5</v>
      </c>
      <c r="L10" t="s">
        <v>91</v>
      </c>
    </row>
    <row r="11" spans="1:12" x14ac:dyDescent="0.3">
      <c r="A11">
        <v>10</v>
      </c>
      <c r="B11" t="s">
        <v>21</v>
      </c>
      <c r="C11" t="s">
        <v>74</v>
      </c>
      <c r="D11" t="s">
        <v>82</v>
      </c>
      <c r="E11" t="s">
        <v>88</v>
      </c>
      <c r="F11" t="s">
        <v>89</v>
      </c>
      <c r="G11">
        <v>4</v>
      </c>
      <c r="H11">
        <v>664</v>
      </c>
      <c r="I11">
        <v>10</v>
      </c>
      <c r="J11">
        <v>23</v>
      </c>
      <c r="K11">
        <v>3</v>
      </c>
      <c r="L11" t="s">
        <v>91</v>
      </c>
    </row>
    <row r="12" spans="1:12" x14ac:dyDescent="0.3">
      <c r="A12">
        <v>11</v>
      </c>
      <c r="B12" t="s">
        <v>22</v>
      </c>
      <c r="C12" t="s">
        <v>77</v>
      </c>
      <c r="D12" t="s">
        <v>79</v>
      </c>
      <c r="E12" t="s">
        <v>88</v>
      </c>
      <c r="F12" t="s">
        <v>90</v>
      </c>
      <c r="G12">
        <v>2</v>
      </c>
      <c r="H12">
        <v>839</v>
      </c>
      <c r="I12">
        <v>40</v>
      </c>
      <c r="J12">
        <v>51</v>
      </c>
      <c r="K12">
        <v>2</v>
      </c>
      <c r="L12" t="s">
        <v>91</v>
      </c>
    </row>
    <row r="13" spans="1:12" x14ac:dyDescent="0.3">
      <c r="A13">
        <v>12</v>
      </c>
      <c r="B13" t="s">
        <v>23</v>
      </c>
      <c r="C13" t="s">
        <v>74</v>
      </c>
      <c r="D13" t="s">
        <v>82</v>
      </c>
      <c r="E13" t="s">
        <v>87</v>
      </c>
      <c r="F13" t="s">
        <v>90</v>
      </c>
      <c r="G13">
        <v>2</v>
      </c>
      <c r="H13">
        <v>243</v>
      </c>
      <c r="I13">
        <v>10</v>
      </c>
      <c r="J13">
        <v>24</v>
      </c>
      <c r="K13">
        <v>3</v>
      </c>
      <c r="L13" t="s">
        <v>91</v>
      </c>
    </row>
    <row r="14" spans="1:12" x14ac:dyDescent="0.3">
      <c r="A14">
        <v>13</v>
      </c>
      <c r="B14" t="s">
        <v>24</v>
      </c>
      <c r="C14" t="s">
        <v>77</v>
      </c>
      <c r="D14" t="s">
        <v>79</v>
      </c>
      <c r="E14" t="s">
        <v>86</v>
      </c>
      <c r="F14" t="s">
        <v>89</v>
      </c>
      <c r="G14">
        <v>2</v>
      </c>
      <c r="H14">
        <v>890</v>
      </c>
      <c r="I14">
        <v>5</v>
      </c>
      <c r="J14">
        <v>47</v>
      </c>
      <c r="K14">
        <v>4</v>
      </c>
      <c r="L14" t="s">
        <v>91</v>
      </c>
    </row>
    <row r="15" spans="1:12" x14ac:dyDescent="0.3">
      <c r="A15">
        <v>14</v>
      </c>
      <c r="B15" t="s">
        <v>25</v>
      </c>
      <c r="C15" t="s">
        <v>77</v>
      </c>
      <c r="D15" t="s">
        <v>81</v>
      </c>
      <c r="E15" t="s">
        <v>85</v>
      </c>
      <c r="F15" t="s">
        <v>90</v>
      </c>
      <c r="G15">
        <v>6</v>
      </c>
      <c r="H15">
        <v>1043</v>
      </c>
      <c r="I15">
        <v>25</v>
      </c>
      <c r="J15">
        <v>32</v>
      </c>
      <c r="K15">
        <v>2</v>
      </c>
      <c r="L15" t="s">
        <v>91</v>
      </c>
    </row>
    <row r="16" spans="1:12" x14ac:dyDescent="0.3">
      <c r="A16">
        <v>15</v>
      </c>
      <c r="B16" t="s">
        <v>26</v>
      </c>
      <c r="C16" t="s">
        <v>74</v>
      </c>
      <c r="D16" t="s">
        <v>80</v>
      </c>
      <c r="E16" t="s">
        <v>88</v>
      </c>
      <c r="F16" t="s">
        <v>90</v>
      </c>
      <c r="G16">
        <v>6</v>
      </c>
      <c r="H16">
        <v>998</v>
      </c>
      <c r="I16">
        <v>40</v>
      </c>
      <c r="J16">
        <v>19</v>
      </c>
      <c r="K16">
        <v>1</v>
      </c>
      <c r="L16" t="s">
        <v>91</v>
      </c>
    </row>
    <row r="17" spans="1:12" x14ac:dyDescent="0.3">
      <c r="A17">
        <v>16</v>
      </c>
      <c r="B17" t="s">
        <v>27</v>
      </c>
      <c r="C17" t="s">
        <v>74</v>
      </c>
      <c r="D17" t="s">
        <v>83</v>
      </c>
      <c r="E17" t="s">
        <v>84</v>
      </c>
      <c r="F17" t="s">
        <v>89</v>
      </c>
      <c r="G17">
        <v>2</v>
      </c>
      <c r="H17">
        <v>906</v>
      </c>
      <c r="I17">
        <v>0</v>
      </c>
      <c r="J17">
        <v>46</v>
      </c>
      <c r="K17">
        <v>3</v>
      </c>
      <c r="L17" t="s">
        <v>92</v>
      </c>
    </row>
    <row r="18" spans="1:12" x14ac:dyDescent="0.3">
      <c r="A18">
        <v>17</v>
      </c>
      <c r="B18" t="s">
        <v>28</v>
      </c>
      <c r="C18" t="s">
        <v>75</v>
      </c>
      <c r="D18" t="s">
        <v>82</v>
      </c>
      <c r="E18" t="s">
        <v>87</v>
      </c>
      <c r="F18" t="s">
        <v>89</v>
      </c>
      <c r="G18">
        <v>1</v>
      </c>
      <c r="H18">
        <v>905</v>
      </c>
      <c r="I18">
        <v>30</v>
      </c>
      <c r="J18">
        <v>56</v>
      </c>
      <c r="K18">
        <v>5</v>
      </c>
      <c r="L18" t="s">
        <v>91</v>
      </c>
    </row>
    <row r="19" spans="1:12" x14ac:dyDescent="0.3">
      <c r="A19">
        <v>18</v>
      </c>
      <c r="B19" t="s">
        <v>29</v>
      </c>
      <c r="C19" t="s">
        <v>74</v>
      </c>
      <c r="D19" t="s">
        <v>80</v>
      </c>
      <c r="E19" t="s">
        <v>84</v>
      </c>
      <c r="F19" t="s">
        <v>89</v>
      </c>
      <c r="G19">
        <v>6</v>
      </c>
      <c r="H19">
        <v>773</v>
      </c>
      <c r="I19">
        <v>10</v>
      </c>
      <c r="J19">
        <v>44</v>
      </c>
      <c r="K19">
        <v>1</v>
      </c>
      <c r="L19" t="s">
        <v>91</v>
      </c>
    </row>
    <row r="20" spans="1:12" x14ac:dyDescent="0.3">
      <c r="A20">
        <v>19</v>
      </c>
      <c r="B20" t="s">
        <v>30</v>
      </c>
      <c r="C20" t="s">
        <v>74</v>
      </c>
      <c r="D20" t="s">
        <v>79</v>
      </c>
      <c r="E20" t="s">
        <v>87</v>
      </c>
      <c r="F20" t="s">
        <v>89</v>
      </c>
      <c r="G20">
        <v>6</v>
      </c>
      <c r="H20">
        <v>798</v>
      </c>
      <c r="I20">
        <v>5</v>
      </c>
      <c r="J20">
        <v>27</v>
      </c>
      <c r="K20">
        <v>4</v>
      </c>
      <c r="L20" t="s">
        <v>91</v>
      </c>
    </row>
    <row r="21" spans="1:12" x14ac:dyDescent="0.3">
      <c r="A21">
        <v>20</v>
      </c>
      <c r="B21" t="s">
        <v>31</v>
      </c>
      <c r="C21" t="s">
        <v>76</v>
      </c>
      <c r="D21" t="s">
        <v>78</v>
      </c>
      <c r="E21" t="s">
        <v>88</v>
      </c>
      <c r="F21" t="s">
        <v>89</v>
      </c>
      <c r="G21">
        <v>5</v>
      </c>
      <c r="H21">
        <v>662</v>
      </c>
      <c r="I21">
        <v>40</v>
      </c>
      <c r="J21">
        <v>27</v>
      </c>
      <c r="K21">
        <v>2</v>
      </c>
      <c r="L21" t="s">
        <v>91</v>
      </c>
    </row>
    <row r="22" spans="1:12" x14ac:dyDescent="0.3">
      <c r="A22">
        <v>21</v>
      </c>
      <c r="B22" t="s">
        <v>32</v>
      </c>
      <c r="C22" t="s">
        <v>75</v>
      </c>
      <c r="D22" t="s">
        <v>82</v>
      </c>
      <c r="E22" t="s">
        <v>87</v>
      </c>
      <c r="F22" t="s">
        <v>90</v>
      </c>
      <c r="G22">
        <v>1</v>
      </c>
      <c r="H22">
        <v>572</v>
      </c>
      <c r="I22">
        <v>25</v>
      </c>
      <c r="J22">
        <v>44</v>
      </c>
      <c r="K22">
        <v>2</v>
      </c>
      <c r="L22" t="s">
        <v>91</v>
      </c>
    </row>
    <row r="23" spans="1:12" x14ac:dyDescent="0.3">
      <c r="A23">
        <v>22</v>
      </c>
      <c r="B23" t="s">
        <v>33</v>
      </c>
      <c r="C23" t="s">
        <v>74</v>
      </c>
      <c r="D23" t="s">
        <v>82</v>
      </c>
      <c r="E23" t="s">
        <v>84</v>
      </c>
      <c r="F23" t="s">
        <v>89</v>
      </c>
      <c r="G23">
        <v>6</v>
      </c>
      <c r="H23">
        <v>631</v>
      </c>
      <c r="I23">
        <v>10</v>
      </c>
      <c r="J23">
        <v>38</v>
      </c>
      <c r="K23">
        <v>5</v>
      </c>
      <c r="L23" t="s">
        <v>91</v>
      </c>
    </row>
    <row r="24" spans="1:12" x14ac:dyDescent="0.3">
      <c r="A24">
        <v>23</v>
      </c>
      <c r="B24" t="s">
        <v>34</v>
      </c>
      <c r="C24" t="s">
        <v>76</v>
      </c>
      <c r="D24" t="s">
        <v>82</v>
      </c>
      <c r="E24" t="s">
        <v>85</v>
      </c>
      <c r="F24" t="s">
        <v>90</v>
      </c>
      <c r="G24">
        <v>3</v>
      </c>
      <c r="H24">
        <v>443</v>
      </c>
      <c r="I24">
        <v>5</v>
      </c>
      <c r="J24">
        <v>20</v>
      </c>
      <c r="K24">
        <v>4</v>
      </c>
      <c r="L24" t="s">
        <v>91</v>
      </c>
    </row>
    <row r="25" spans="1:12" x14ac:dyDescent="0.3">
      <c r="A25">
        <v>24</v>
      </c>
      <c r="B25" t="s">
        <v>35</v>
      </c>
      <c r="C25" t="s">
        <v>74</v>
      </c>
      <c r="D25" t="s">
        <v>78</v>
      </c>
      <c r="E25" t="s">
        <v>84</v>
      </c>
      <c r="F25" t="s">
        <v>89</v>
      </c>
      <c r="G25">
        <v>2</v>
      </c>
      <c r="H25">
        <v>941</v>
      </c>
      <c r="I25">
        <v>40</v>
      </c>
      <c r="J25">
        <v>17</v>
      </c>
      <c r="K25">
        <v>2</v>
      </c>
      <c r="L25" t="s">
        <v>91</v>
      </c>
    </row>
    <row r="26" spans="1:12" x14ac:dyDescent="0.3">
      <c r="A26">
        <v>25</v>
      </c>
      <c r="B26" t="s">
        <v>36</v>
      </c>
      <c r="C26" t="s">
        <v>75</v>
      </c>
      <c r="D26" t="s">
        <v>81</v>
      </c>
      <c r="E26" t="s">
        <v>87</v>
      </c>
      <c r="F26" t="s">
        <v>89</v>
      </c>
      <c r="G26">
        <v>3</v>
      </c>
      <c r="H26">
        <v>631</v>
      </c>
      <c r="I26">
        <v>20</v>
      </c>
      <c r="J26">
        <v>36</v>
      </c>
      <c r="K26">
        <v>3</v>
      </c>
      <c r="L26" t="s">
        <v>91</v>
      </c>
    </row>
    <row r="27" spans="1:12" x14ac:dyDescent="0.3">
      <c r="A27">
        <v>26</v>
      </c>
      <c r="B27" t="s">
        <v>21</v>
      </c>
      <c r="C27" t="s">
        <v>77</v>
      </c>
      <c r="D27" t="s">
        <v>78</v>
      </c>
      <c r="E27" t="s">
        <v>84</v>
      </c>
      <c r="F27" t="s">
        <v>90</v>
      </c>
      <c r="G27">
        <v>1</v>
      </c>
      <c r="H27">
        <v>823</v>
      </c>
      <c r="I27">
        <v>0</v>
      </c>
      <c r="J27">
        <v>34</v>
      </c>
      <c r="K27">
        <v>4</v>
      </c>
      <c r="L27" t="s">
        <v>91</v>
      </c>
    </row>
    <row r="28" spans="1:12" x14ac:dyDescent="0.3">
      <c r="A28">
        <v>27</v>
      </c>
      <c r="B28" t="s">
        <v>37</v>
      </c>
      <c r="C28" t="s">
        <v>77</v>
      </c>
      <c r="D28" t="s">
        <v>82</v>
      </c>
      <c r="E28" t="s">
        <v>88</v>
      </c>
      <c r="F28" t="s">
        <v>90</v>
      </c>
      <c r="G28">
        <v>4</v>
      </c>
      <c r="H28">
        <v>548</v>
      </c>
      <c r="I28">
        <v>40</v>
      </c>
      <c r="J28">
        <v>16</v>
      </c>
      <c r="K28">
        <v>2</v>
      </c>
      <c r="L28" t="s">
        <v>91</v>
      </c>
    </row>
    <row r="29" spans="1:12" x14ac:dyDescent="0.3">
      <c r="A29">
        <v>28</v>
      </c>
      <c r="B29" t="s">
        <v>19</v>
      </c>
      <c r="C29" t="s">
        <v>76</v>
      </c>
      <c r="D29" t="s">
        <v>78</v>
      </c>
      <c r="E29" t="s">
        <v>84</v>
      </c>
      <c r="F29" t="s">
        <v>89</v>
      </c>
      <c r="G29">
        <v>3</v>
      </c>
      <c r="H29">
        <v>929</v>
      </c>
      <c r="I29">
        <v>40</v>
      </c>
      <c r="J29">
        <v>30</v>
      </c>
      <c r="K29">
        <v>4</v>
      </c>
      <c r="L29" t="s">
        <v>91</v>
      </c>
    </row>
    <row r="30" spans="1:12" x14ac:dyDescent="0.3">
      <c r="A30">
        <v>29</v>
      </c>
      <c r="B30" t="s">
        <v>38</v>
      </c>
      <c r="C30" t="s">
        <v>75</v>
      </c>
      <c r="D30" t="s">
        <v>78</v>
      </c>
      <c r="E30" t="s">
        <v>85</v>
      </c>
      <c r="F30" t="s">
        <v>90</v>
      </c>
      <c r="G30">
        <v>4</v>
      </c>
      <c r="H30">
        <v>367</v>
      </c>
      <c r="I30">
        <v>0</v>
      </c>
      <c r="J30">
        <v>50</v>
      </c>
      <c r="K30">
        <v>2</v>
      </c>
      <c r="L30" t="s">
        <v>91</v>
      </c>
    </row>
    <row r="31" spans="1:12" x14ac:dyDescent="0.3">
      <c r="A31">
        <v>30</v>
      </c>
      <c r="B31" t="s">
        <v>39</v>
      </c>
      <c r="C31" t="s">
        <v>76</v>
      </c>
      <c r="D31" t="s">
        <v>78</v>
      </c>
      <c r="E31" t="s">
        <v>85</v>
      </c>
      <c r="F31" t="s">
        <v>89</v>
      </c>
      <c r="G31">
        <v>3</v>
      </c>
      <c r="H31">
        <v>593</v>
      </c>
      <c r="I31">
        <v>15</v>
      </c>
      <c r="J31">
        <v>28</v>
      </c>
      <c r="K31">
        <v>5</v>
      </c>
      <c r="L31" t="s">
        <v>91</v>
      </c>
    </row>
    <row r="32" spans="1:12" x14ac:dyDescent="0.3">
      <c r="A32">
        <v>31</v>
      </c>
      <c r="B32" t="s">
        <v>40</v>
      </c>
      <c r="C32" t="s">
        <v>76</v>
      </c>
      <c r="D32" t="s">
        <v>78</v>
      </c>
      <c r="E32" t="s">
        <v>85</v>
      </c>
      <c r="F32" t="s">
        <v>90</v>
      </c>
      <c r="G32">
        <v>5</v>
      </c>
      <c r="H32">
        <v>341</v>
      </c>
      <c r="I32">
        <v>40</v>
      </c>
      <c r="J32">
        <v>58</v>
      </c>
      <c r="K32">
        <v>5</v>
      </c>
      <c r="L32" t="s">
        <v>91</v>
      </c>
    </row>
    <row r="33" spans="1:12" x14ac:dyDescent="0.3">
      <c r="A33">
        <v>32</v>
      </c>
      <c r="B33" t="s">
        <v>38</v>
      </c>
      <c r="C33" t="s">
        <v>76</v>
      </c>
      <c r="D33" t="s">
        <v>82</v>
      </c>
      <c r="E33" t="s">
        <v>85</v>
      </c>
      <c r="F33" t="s">
        <v>90</v>
      </c>
      <c r="G33">
        <v>6</v>
      </c>
      <c r="H33">
        <v>622</v>
      </c>
      <c r="I33">
        <v>40</v>
      </c>
      <c r="J33">
        <v>20</v>
      </c>
      <c r="K33">
        <v>3</v>
      </c>
      <c r="L33" t="s">
        <v>91</v>
      </c>
    </row>
    <row r="34" spans="1:12" x14ac:dyDescent="0.3">
      <c r="A34">
        <v>33</v>
      </c>
      <c r="B34" t="s">
        <v>41</v>
      </c>
      <c r="C34" t="s">
        <v>76</v>
      </c>
      <c r="D34" t="s">
        <v>81</v>
      </c>
      <c r="E34" t="s">
        <v>85</v>
      </c>
      <c r="F34" t="s">
        <v>89</v>
      </c>
      <c r="G34">
        <v>1</v>
      </c>
      <c r="H34">
        <v>232</v>
      </c>
      <c r="I34">
        <v>30</v>
      </c>
      <c r="J34">
        <v>17</v>
      </c>
      <c r="K34">
        <v>2</v>
      </c>
      <c r="L34" t="s">
        <v>91</v>
      </c>
    </row>
    <row r="35" spans="1:12" x14ac:dyDescent="0.3">
      <c r="A35">
        <v>34</v>
      </c>
      <c r="B35" t="s">
        <v>31</v>
      </c>
      <c r="C35" t="s">
        <v>74</v>
      </c>
      <c r="D35" t="s">
        <v>78</v>
      </c>
      <c r="E35" t="s">
        <v>88</v>
      </c>
      <c r="F35" t="s">
        <v>89</v>
      </c>
      <c r="G35">
        <v>4</v>
      </c>
      <c r="H35">
        <v>867</v>
      </c>
      <c r="I35">
        <v>20</v>
      </c>
      <c r="J35">
        <v>53</v>
      </c>
      <c r="K35">
        <v>1</v>
      </c>
      <c r="L35" t="s">
        <v>91</v>
      </c>
    </row>
    <row r="36" spans="1:12" x14ac:dyDescent="0.3">
      <c r="A36">
        <v>35</v>
      </c>
      <c r="B36" t="s">
        <v>42</v>
      </c>
      <c r="C36" t="s">
        <v>77</v>
      </c>
      <c r="D36" t="s">
        <v>79</v>
      </c>
      <c r="E36" t="s">
        <v>87</v>
      </c>
      <c r="F36" t="s">
        <v>90</v>
      </c>
      <c r="G36">
        <v>6</v>
      </c>
      <c r="H36">
        <v>720</v>
      </c>
      <c r="I36">
        <v>15</v>
      </c>
      <c r="J36">
        <v>16</v>
      </c>
      <c r="K36">
        <v>3</v>
      </c>
      <c r="L36" t="s">
        <v>91</v>
      </c>
    </row>
    <row r="37" spans="1:12" x14ac:dyDescent="0.3">
      <c r="A37">
        <v>36</v>
      </c>
      <c r="B37" t="s">
        <v>43</v>
      </c>
      <c r="C37" t="s">
        <v>77</v>
      </c>
      <c r="D37" t="s">
        <v>80</v>
      </c>
      <c r="E37" t="s">
        <v>84</v>
      </c>
      <c r="F37" t="s">
        <v>89</v>
      </c>
      <c r="G37">
        <v>2</v>
      </c>
      <c r="H37">
        <v>231</v>
      </c>
      <c r="I37">
        <v>20</v>
      </c>
      <c r="J37">
        <v>25</v>
      </c>
      <c r="K37">
        <v>2</v>
      </c>
      <c r="L37" t="s">
        <v>91</v>
      </c>
    </row>
    <row r="38" spans="1:12" x14ac:dyDescent="0.3">
      <c r="A38">
        <v>37</v>
      </c>
      <c r="B38" t="s">
        <v>44</v>
      </c>
      <c r="C38" t="s">
        <v>74</v>
      </c>
      <c r="D38" t="s">
        <v>81</v>
      </c>
      <c r="E38" t="s">
        <v>88</v>
      </c>
      <c r="F38" t="s">
        <v>89</v>
      </c>
      <c r="G38">
        <v>6</v>
      </c>
      <c r="H38">
        <v>413</v>
      </c>
      <c r="I38">
        <v>0</v>
      </c>
      <c r="J38">
        <v>54</v>
      </c>
      <c r="K38">
        <v>4</v>
      </c>
      <c r="L38" t="s">
        <v>91</v>
      </c>
    </row>
    <row r="39" spans="1:12" x14ac:dyDescent="0.3">
      <c r="A39">
        <v>38</v>
      </c>
      <c r="B39" t="s">
        <v>45</v>
      </c>
      <c r="C39" t="s">
        <v>75</v>
      </c>
      <c r="D39" t="s">
        <v>82</v>
      </c>
      <c r="E39" t="s">
        <v>85</v>
      </c>
      <c r="F39" t="s">
        <v>89</v>
      </c>
      <c r="G39">
        <v>5</v>
      </c>
      <c r="H39">
        <v>1141</v>
      </c>
      <c r="I39">
        <v>0</v>
      </c>
      <c r="J39">
        <v>38</v>
      </c>
      <c r="K39">
        <v>1</v>
      </c>
      <c r="L39" t="s">
        <v>91</v>
      </c>
    </row>
    <row r="40" spans="1:12" x14ac:dyDescent="0.3">
      <c r="A40">
        <v>39</v>
      </c>
      <c r="B40" t="s">
        <v>22</v>
      </c>
      <c r="C40" t="s">
        <v>74</v>
      </c>
      <c r="D40" t="s">
        <v>83</v>
      </c>
      <c r="E40" t="s">
        <v>85</v>
      </c>
      <c r="F40" t="s">
        <v>90</v>
      </c>
      <c r="G40">
        <v>1</v>
      </c>
      <c r="H40">
        <v>399</v>
      </c>
      <c r="I40">
        <v>5</v>
      </c>
      <c r="J40">
        <v>42</v>
      </c>
      <c r="K40">
        <v>4</v>
      </c>
      <c r="L40" t="s">
        <v>91</v>
      </c>
    </row>
    <row r="41" spans="1:12" x14ac:dyDescent="0.3">
      <c r="A41">
        <v>40</v>
      </c>
      <c r="B41" t="s">
        <v>46</v>
      </c>
      <c r="C41" t="s">
        <v>75</v>
      </c>
      <c r="D41" t="s">
        <v>78</v>
      </c>
      <c r="E41" t="s">
        <v>86</v>
      </c>
      <c r="F41" t="s">
        <v>90</v>
      </c>
      <c r="G41">
        <v>1</v>
      </c>
      <c r="H41">
        <v>842</v>
      </c>
      <c r="I41">
        <v>20</v>
      </c>
      <c r="J41">
        <v>26</v>
      </c>
      <c r="K41">
        <v>1</v>
      </c>
      <c r="L41" t="s">
        <v>91</v>
      </c>
    </row>
    <row r="42" spans="1:12" x14ac:dyDescent="0.3">
      <c r="A42">
        <v>41</v>
      </c>
      <c r="B42" t="s">
        <v>47</v>
      </c>
      <c r="C42" t="s">
        <v>77</v>
      </c>
      <c r="D42" t="s">
        <v>81</v>
      </c>
      <c r="E42" t="s">
        <v>87</v>
      </c>
      <c r="F42" t="s">
        <v>89</v>
      </c>
      <c r="G42">
        <v>5</v>
      </c>
      <c r="H42">
        <v>530</v>
      </c>
      <c r="I42">
        <v>15</v>
      </c>
      <c r="J42">
        <v>54</v>
      </c>
      <c r="K42">
        <v>4</v>
      </c>
      <c r="L42" t="s">
        <v>91</v>
      </c>
    </row>
    <row r="43" spans="1:12" x14ac:dyDescent="0.3">
      <c r="A43">
        <v>42</v>
      </c>
      <c r="B43" t="s">
        <v>48</v>
      </c>
      <c r="C43" t="s">
        <v>77</v>
      </c>
      <c r="D43" t="s">
        <v>78</v>
      </c>
      <c r="E43" t="s">
        <v>88</v>
      </c>
      <c r="F43" t="s">
        <v>90</v>
      </c>
      <c r="G43">
        <v>1</v>
      </c>
      <c r="H43">
        <v>265</v>
      </c>
      <c r="I43">
        <v>20</v>
      </c>
      <c r="J43">
        <v>56</v>
      </c>
      <c r="K43">
        <v>2</v>
      </c>
      <c r="L43" t="s">
        <v>91</v>
      </c>
    </row>
    <row r="44" spans="1:12" x14ac:dyDescent="0.3">
      <c r="A44">
        <v>43</v>
      </c>
      <c r="B44" t="s">
        <v>49</v>
      </c>
      <c r="C44" t="s">
        <v>75</v>
      </c>
      <c r="D44" t="s">
        <v>82</v>
      </c>
      <c r="E44" t="s">
        <v>84</v>
      </c>
      <c r="F44" t="s">
        <v>89</v>
      </c>
      <c r="G44">
        <v>5</v>
      </c>
      <c r="H44">
        <v>587</v>
      </c>
      <c r="I44">
        <v>40</v>
      </c>
      <c r="J44">
        <v>47</v>
      </c>
      <c r="K44">
        <v>4</v>
      </c>
      <c r="L44" t="s">
        <v>91</v>
      </c>
    </row>
    <row r="45" spans="1:12" x14ac:dyDescent="0.3">
      <c r="A45">
        <v>44</v>
      </c>
      <c r="B45" t="s">
        <v>50</v>
      </c>
      <c r="C45" t="s">
        <v>77</v>
      </c>
      <c r="D45" t="s">
        <v>82</v>
      </c>
      <c r="E45" t="s">
        <v>85</v>
      </c>
      <c r="F45" t="s">
        <v>89</v>
      </c>
      <c r="G45">
        <v>5</v>
      </c>
      <c r="H45">
        <v>728</v>
      </c>
      <c r="I45">
        <v>20</v>
      </c>
      <c r="J45">
        <v>20</v>
      </c>
      <c r="K45">
        <v>1</v>
      </c>
      <c r="L45" t="s">
        <v>92</v>
      </c>
    </row>
    <row r="46" spans="1:12" x14ac:dyDescent="0.3">
      <c r="A46">
        <v>45</v>
      </c>
      <c r="B46" t="s">
        <v>51</v>
      </c>
      <c r="C46" t="s">
        <v>74</v>
      </c>
      <c r="D46" t="s">
        <v>83</v>
      </c>
      <c r="E46" t="s">
        <v>88</v>
      </c>
      <c r="F46" t="s">
        <v>89</v>
      </c>
      <c r="G46">
        <v>5</v>
      </c>
      <c r="H46">
        <v>157</v>
      </c>
      <c r="I46">
        <v>0</v>
      </c>
      <c r="J46">
        <v>41</v>
      </c>
      <c r="K46">
        <v>1</v>
      </c>
      <c r="L46" t="s">
        <v>92</v>
      </c>
    </row>
    <row r="47" spans="1:12" x14ac:dyDescent="0.3">
      <c r="A47">
        <v>46</v>
      </c>
      <c r="B47" t="s">
        <v>52</v>
      </c>
      <c r="C47" t="s">
        <v>77</v>
      </c>
      <c r="D47" t="s">
        <v>80</v>
      </c>
      <c r="E47" t="s">
        <v>87</v>
      </c>
      <c r="F47" t="s">
        <v>89</v>
      </c>
      <c r="G47">
        <v>3</v>
      </c>
      <c r="H47">
        <v>468</v>
      </c>
      <c r="I47">
        <v>20</v>
      </c>
      <c r="J47">
        <v>41</v>
      </c>
      <c r="K47">
        <v>1</v>
      </c>
      <c r="L47" t="s">
        <v>91</v>
      </c>
    </row>
    <row r="48" spans="1:12" x14ac:dyDescent="0.3">
      <c r="A48">
        <v>47</v>
      </c>
      <c r="B48" t="s">
        <v>47</v>
      </c>
      <c r="C48" t="s">
        <v>76</v>
      </c>
      <c r="D48" t="s">
        <v>82</v>
      </c>
      <c r="E48" t="s">
        <v>86</v>
      </c>
      <c r="F48" t="s">
        <v>89</v>
      </c>
      <c r="G48">
        <v>3</v>
      </c>
      <c r="H48">
        <v>546</v>
      </c>
      <c r="I48">
        <v>10</v>
      </c>
      <c r="J48">
        <v>16</v>
      </c>
      <c r="K48">
        <v>2</v>
      </c>
      <c r="L48" t="s">
        <v>91</v>
      </c>
    </row>
    <row r="49" spans="1:12" x14ac:dyDescent="0.3">
      <c r="A49">
        <v>48</v>
      </c>
      <c r="B49" t="s">
        <v>50</v>
      </c>
      <c r="C49" t="s">
        <v>76</v>
      </c>
      <c r="D49" t="s">
        <v>81</v>
      </c>
      <c r="E49" t="s">
        <v>88</v>
      </c>
      <c r="F49" t="s">
        <v>89</v>
      </c>
      <c r="G49">
        <v>1</v>
      </c>
      <c r="H49">
        <v>358</v>
      </c>
      <c r="I49">
        <v>20</v>
      </c>
      <c r="J49">
        <v>22</v>
      </c>
      <c r="K49">
        <v>2</v>
      </c>
      <c r="L49" t="s">
        <v>91</v>
      </c>
    </row>
    <row r="50" spans="1:12" x14ac:dyDescent="0.3">
      <c r="A50">
        <v>49</v>
      </c>
      <c r="B50" t="s">
        <v>53</v>
      </c>
      <c r="C50" t="s">
        <v>76</v>
      </c>
      <c r="D50" t="s">
        <v>83</v>
      </c>
      <c r="E50" t="s">
        <v>84</v>
      </c>
      <c r="F50" t="s">
        <v>89</v>
      </c>
      <c r="G50">
        <v>2</v>
      </c>
      <c r="H50">
        <v>200</v>
      </c>
      <c r="I50">
        <v>0</v>
      </c>
      <c r="J50">
        <v>57</v>
      </c>
      <c r="K50">
        <v>4</v>
      </c>
      <c r="L50" t="s">
        <v>91</v>
      </c>
    </row>
    <row r="51" spans="1:12" x14ac:dyDescent="0.3">
      <c r="A51">
        <v>50</v>
      </c>
      <c r="B51" t="s">
        <v>23</v>
      </c>
      <c r="C51" t="s">
        <v>76</v>
      </c>
      <c r="D51" t="s">
        <v>79</v>
      </c>
      <c r="E51" t="s">
        <v>87</v>
      </c>
      <c r="F51" t="s">
        <v>89</v>
      </c>
      <c r="G51">
        <v>4</v>
      </c>
      <c r="H51">
        <v>763</v>
      </c>
      <c r="I51">
        <v>0</v>
      </c>
      <c r="J51">
        <v>49</v>
      </c>
      <c r="K51">
        <v>2</v>
      </c>
      <c r="L51" t="s">
        <v>91</v>
      </c>
    </row>
    <row r="52" spans="1:12" x14ac:dyDescent="0.3">
      <c r="A52">
        <v>51</v>
      </c>
      <c r="B52" t="s">
        <v>54</v>
      </c>
      <c r="C52" t="s">
        <v>77</v>
      </c>
      <c r="D52" t="s">
        <v>80</v>
      </c>
      <c r="E52" t="s">
        <v>85</v>
      </c>
      <c r="F52" t="s">
        <v>90</v>
      </c>
      <c r="G52">
        <v>3</v>
      </c>
      <c r="H52">
        <v>803</v>
      </c>
      <c r="I52">
        <v>15</v>
      </c>
      <c r="J52">
        <v>15</v>
      </c>
      <c r="K52">
        <v>5</v>
      </c>
      <c r="L52" t="s">
        <v>91</v>
      </c>
    </row>
    <row r="53" spans="1:12" x14ac:dyDescent="0.3">
      <c r="A53">
        <v>52</v>
      </c>
      <c r="B53" t="s">
        <v>55</v>
      </c>
      <c r="C53" t="s">
        <v>75</v>
      </c>
      <c r="D53" t="s">
        <v>81</v>
      </c>
      <c r="E53" t="s">
        <v>87</v>
      </c>
      <c r="F53" t="s">
        <v>90</v>
      </c>
      <c r="G53">
        <v>6</v>
      </c>
      <c r="H53">
        <v>613</v>
      </c>
      <c r="I53">
        <v>10</v>
      </c>
      <c r="J53">
        <v>30</v>
      </c>
      <c r="K53">
        <v>3</v>
      </c>
      <c r="L53" t="s">
        <v>91</v>
      </c>
    </row>
    <row r="54" spans="1:12" x14ac:dyDescent="0.3">
      <c r="A54">
        <v>53</v>
      </c>
      <c r="B54" t="s">
        <v>46</v>
      </c>
      <c r="C54" t="s">
        <v>74</v>
      </c>
      <c r="D54" t="s">
        <v>79</v>
      </c>
      <c r="E54" t="s">
        <v>88</v>
      </c>
      <c r="F54" t="s">
        <v>90</v>
      </c>
      <c r="G54">
        <v>5</v>
      </c>
      <c r="H54">
        <v>473</v>
      </c>
      <c r="I54">
        <v>10</v>
      </c>
      <c r="J54">
        <v>45</v>
      </c>
      <c r="K54">
        <v>1</v>
      </c>
      <c r="L54" t="s">
        <v>91</v>
      </c>
    </row>
    <row r="55" spans="1:12" x14ac:dyDescent="0.3">
      <c r="A55">
        <v>54</v>
      </c>
      <c r="B55" t="s">
        <v>56</v>
      </c>
      <c r="C55" t="s">
        <v>77</v>
      </c>
      <c r="D55" t="s">
        <v>81</v>
      </c>
      <c r="E55" t="s">
        <v>88</v>
      </c>
      <c r="F55" t="s">
        <v>90</v>
      </c>
      <c r="G55">
        <v>2</v>
      </c>
      <c r="H55">
        <v>826</v>
      </c>
      <c r="I55">
        <v>40</v>
      </c>
      <c r="J55">
        <v>48</v>
      </c>
      <c r="K55">
        <v>4</v>
      </c>
      <c r="L55" t="s">
        <v>91</v>
      </c>
    </row>
    <row r="56" spans="1:12" x14ac:dyDescent="0.3">
      <c r="A56">
        <v>55</v>
      </c>
      <c r="B56" t="s">
        <v>50</v>
      </c>
      <c r="C56" t="s">
        <v>74</v>
      </c>
      <c r="D56" t="s">
        <v>80</v>
      </c>
      <c r="E56" t="s">
        <v>85</v>
      </c>
      <c r="F56" t="s">
        <v>89</v>
      </c>
      <c r="G56">
        <v>4</v>
      </c>
      <c r="H56">
        <v>1062</v>
      </c>
      <c r="I56">
        <v>15</v>
      </c>
      <c r="J56">
        <v>60</v>
      </c>
      <c r="K56">
        <v>2</v>
      </c>
      <c r="L56" t="s">
        <v>92</v>
      </c>
    </row>
    <row r="57" spans="1:12" x14ac:dyDescent="0.3">
      <c r="A57">
        <v>56</v>
      </c>
      <c r="B57" t="s">
        <v>57</v>
      </c>
      <c r="C57" t="s">
        <v>76</v>
      </c>
      <c r="D57" t="s">
        <v>82</v>
      </c>
      <c r="E57" t="s">
        <v>86</v>
      </c>
      <c r="F57" t="s">
        <v>90</v>
      </c>
      <c r="G57">
        <v>2</v>
      </c>
      <c r="H57">
        <v>1175</v>
      </c>
      <c r="I57">
        <v>40</v>
      </c>
      <c r="J57">
        <v>30</v>
      </c>
      <c r="K57">
        <v>5</v>
      </c>
      <c r="L57" t="s">
        <v>91</v>
      </c>
    </row>
    <row r="58" spans="1:12" x14ac:dyDescent="0.3">
      <c r="A58">
        <v>57</v>
      </c>
      <c r="B58" t="s">
        <v>34</v>
      </c>
      <c r="C58" t="s">
        <v>76</v>
      </c>
      <c r="D58" t="s">
        <v>80</v>
      </c>
      <c r="E58" t="s">
        <v>86</v>
      </c>
      <c r="F58" t="s">
        <v>90</v>
      </c>
      <c r="G58">
        <v>3</v>
      </c>
      <c r="H58">
        <v>735</v>
      </c>
      <c r="I58">
        <v>5</v>
      </c>
      <c r="J58">
        <v>47</v>
      </c>
      <c r="K58">
        <v>4</v>
      </c>
      <c r="L58" t="s">
        <v>91</v>
      </c>
    </row>
    <row r="59" spans="1:12" x14ac:dyDescent="0.3">
      <c r="A59">
        <v>58</v>
      </c>
      <c r="B59" t="s">
        <v>47</v>
      </c>
      <c r="C59" t="s">
        <v>76</v>
      </c>
      <c r="D59" t="s">
        <v>79</v>
      </c>
      <c r="E59" t="s">
        <v>87</v>
      </c>
      <c r="F59" t="s">
        <v>89</v>
      </c>
      <c r="G59">
        <v>1</v>
      </c>
      <c r="H59">
        <v>919</v>
      </c>
      <c r="I59">
        <v>40</v>
      </c>
      <c r="J59">
        <v>30</v>
      </c>
      <c r="K59">
        <v>4</v>
      </c>
      <c r="L59" t="s">
        <v>92</v>
      </c>
    </row>
    <row r="60" spans="1:12" x14ac:dyDescent="0.3">
      <c r="A60">
        <v>59</v>
      </c>
      <c r="B60" t="s">
        <v>22</v>
      </c>
      <c r="C60" t="s">
        <v>74</v>
      </c>
      <c r="D60" t="s">
        <v>80</v>
      </c>
      <c r="E60" t="s">
        <v>84</v>
      </c>
      <c r="F60" t="s">
        <v>89</v>
      </c>
      <c r="G60">
        <v>1</v>
      </c>
      <c r="H60">
        <v>748</v>
      </c>
      <c r="I60">
        <v>40</v>
      </c>
      <c r="J60">
        <v>37</v>
      </c>
      <c r="K60">
        <v>1</v>
      </c>
      <c r="L60" t="s">
        <v>91</v>
      </c>
    </row>
    <row r="61" spans="1:12" x14ac:dyDescent="0.3">
      <c r="A61">
        <v>60</v>
      </c>
      <c r="B61" t="s">
        <v>58</v>
      </c>
      <c r="C61" t="s">
        <v>76</v>
      </c>
      <c r="D61" t="s">
        <v>78</v>
      </c>
      <c r="E61" t="s">
        <v>87</v>
      </c>
      <c r="F61" t="s">
        <v>90</v>
      </c>
      <c r="G61">
        <v>3</v>
      </c>
      <c r="H61">
        <v>151</v>
      </c>
      <c r="I61">
        <v>0</v>
      </c>
      <c r="J61">
        <v>47</v>
      </c>
      <c r="K61">
        <v>3</v>
      </c>
      <c r="L61" t="s">
        <v>91</v>
      </c>
    </row>
    <row r="62" spans="1:12" x14ac:dyDescent="0.3">
      <c r="A62">
        <v>61</v>
      </c>
      <c r="B62" t="s">
        <v>59</v>
      </c>
      <c r="C62" t="s">
        <v>76</v>
      </c>
      <c r="D62" t="s">
        <v>81</v>
      </c>
      <c r="E62" t="s">
        <v>87</v>
      </c>
      <c r="F62" t="s">
        <v>90</v>
      </c>
      <c r="G62">
        <v>5</v>
      </c>
      <c r="H62">
        <v>594</v>
      </c>
      <c r="I62">
        <v>5</v>
      </c>
      <c r="J62">
        <v>22</v>
      </c>
      <c r="K62">
        <v>4</v>
      </c>
      <c r="L62" t="s">
        <v>91</v>
      </c>
    </row>
    <row r="63" spans="1:12" x14ac:dyDescent="0.3">
      <c r="A63">
        <v>62</v>
      </c>
      <c r="B63" t="s">
        <v>15</v>
      </c>
      <c r="C63" t="s">
        <v>74</v>
      </c>
      <c r="D63" t="s">
        <v>82</v>
      </c>
      <c r="E63" t="s">
        <v>87</v>
      </c>
      <c r="F63" t="s">
        <v>90</v>
      </c>
      <c r="G63">
        <v>5</v>
      </c>
      <c r="H63">
        <v>1019</v>
      </c>
      <c r="I63">
        <v>0</v>
      </c>
      <c r="J63">
        <v>46</v>
      </c>
      <c r="K63">
        <v>4</v>
      </c>
      <c r="L63" t="s">
        <v>91</v>
      </c>
    </row>
    <row r="64" spans="1:12" x14ac:dyDescent="0.3">
      <c r="A64">
        <v>63</v>
      </c>
      <c r="B64" t="s">
        <v>52</v>
      </c>
      <c r="C64" t="s">
        <v>75</v>
      </c>
      <c r="D64" t="s">
        <v>81</v>
      </c>
      <c r="E64" t="s">
        <v>84</v>
      </c>
      <c r="F64" t="s">
        <v>90</v>
      </c>
      <c r="G64">
        <v>4</v>
      </c>
      <c r="H64">
        <v>1099</v>
      </c>
      <c r="I64">
        <v>0</v>
      </c>
      <c r="J64">
        <v>49</v>
      </c>
      <c r="K64">
        <v>2</v>
      </c>
      <c r="L64" t="s">
        <v>91</v>
      </c>
    </row>
    <row r="65" spans="1:12" x14ac:dyDescent="0.3">
      <c r="A65">
        <v>64</v>
      </c>
      <c r="B65" t="s">
        <v>60</v>
      </c>
      <c r="C65" t="s">
        <v>74</v>
      </c>
      <c r="D65" t="s">
        <v>81</v>
      </c>
      <c r="E65" t="s">
        <v>84</v>
      </c>
      <c r="F65" t="s">
        <v>90</v>
      </c>
      <c r="G65">
        <v>5</v>
      </c>
      <c r="H65">
        <v>365</v>
      </c>
      <c r="I65">
        <v>30</v>
      </c>
      <c r="J65">
        <v>36</v>
      </c>
      <c r="K65">
        <v>1</v>
      </c>
      <c r="L65" t="s">
        <v>91</v>
      </c>
    </row>
    <row r="66" spans="1:12" x14ac:dyDescent="0.3">
      <c r="A66">
        <v>65</v>
      </c>
      <c r="B66" t="s">
        <v>39</v>
      </c>
      <c r="C66" t="s">
        <v>75</v>
      </c>
      <c r="D66" t="s">
        <v>82</v>
      </c>
      <c r="E66" t="s">
        <v>87</v>
      </c>
      <c r="F66" t="s">
        <v>89</v>
      </c>
      <c r="G66">
        <v>2</v>
      </c>
      <c r="H66">
        <v>1137</v>
      </c>
      <c r="I66">
        <v>30</v>
      </c>
      <c r="J66">
        <v>45</v>
      </c>
      <c r="K66">
        <v>2</v>
      </c>
      <c r="L66" t="s">
        <v>91</v>
      </c>
    </row>
    <row r="67" spans="1:12" x14ac:dyDescent="0.3">
      <c r="A67">
        <v>66</v>
      </c>
      <c r="B67" t="s">
        <v>61</v>
      </c>
      <c r="C67" t="s">
        <v>76</v>
      </c>
      <c r="D67" t="s">
        <v>80</v>
      </c>
      <c r="E67" t="s">
        <v>84</v>
      </c>
      <c r="F67" t="s">
        <v>90</v>
      </c>
      <c r="G67">
        <v>5</v>
      </c>
      <c r="H67">
        <v>132</v>
      </c>
      <c r="I67">
        <v>15</v>
      </c>
      <c r="J67">
        <v>22</v>
      </c>
      <c r="K67">
        <v>1</v>
      </c>
      <c r="L67" t="s">
        <v>91</v>
      </c>
    </row>
    <row r="68" spans="1:12" x14ac:dyDescent="0.3">
      <c r="A68">
        <v>67</v>
      </c>
      <c r="B68" t="s">
        <v>62</v>
      </c>
      <c r="C68" t="s">
        <v>76</v>
      </c>
      <c r="D68" t="s">
        <v>81</v>
      </c>
      <c r="E68" t="s">
        <v>87</v>
      </c>
      <c r="F68" t="s">
        <v>89</v>
      </c>
      <c r="G68">
        <v>6</v>
      </c>
      <c r="H68">
        <v>364</v>
      </c>
      <c r="I68">
        <v>40</v>
      </c>
      <c r="J68">
        <v>32</v>
      </c>
      <c r="K68">
        <v>3</v>
      </c>
      <c r="L68" t="s">
        <v>91</v>
      </c>
    </row>
    <row r="69" spans="1:12" x14ac:dyDescent="0.3">
      <c r="A69">
        <v>68</v>
      </c>
      <c r="B69" t="s">
        <v>63</v>
      </c>
      <c r="C69" t="s">
        <v>75</v>
      </c>
      <c r="D69" t="s">
        <v>81</v>
      </c>
      <c r="E69" t="s">
        <v>84</v>
      </c>
      <c r="F69" t="s">
        <v>90</v>
      </c>
      <c r="G69">
        <v>3</v>
      </c>
      <c r="H69">
        <v>672</v>
      </c>
      <c r="I69">
        <v>25</v>
      </c>
      <c r="J69">
        <v>33</v>
      </c>
      <c r="K69">
        <v>2</v>
      </c>
      <c r="L69" t="s">
        <v>92</v>
      </c>
    </row>
    <row r="70" spans="1:12" x14ac:dyDescent="0.3">
      <c r="A70">
        <v>69</v>
      </c>
      <c r="B70" t="s">
        <v>64</v>
      </c>
      <c r="C70" t="s">
        <v>77</v>
      </c>
      <c r="D70" t="s">
        <v>81</v>
      </c>
      <c r="E70" t="s">
        <v>87</v>
      </c>
      <c r="F70" t="s">
        <v>90</v>
      </c>
      <c r="G70">
        <v>2</v>
      </c>
      <c r="H70">
        <v>880</v>
      </c>
      <c r="I70">
        <v>15</v>
      </c>
      <c r="J70">
        <v>19</v>
      </c>
      <c r="K70">
        <v>3</v>
      </c>
      <c r="L70" t="s">
        <v>91</v>
      </c>
    </row>
    <row r="71" spans="1:12" x14ac:dyDescent="0.3">
      <c r="A71">
        <v>70</v>
      </c>
      <c r="B71" t="s">
        <v>65</v>
      </c>
      <c r="C71" t="s">
        <v>75</v>
      </c>
      <c r="D71" t="s">
        <v>78</v>
      </c>
      <c r="E71" t="s">
        <v>87</v>
      </c>
      <c r="F71" t="s">
        <v>90</v>
      </c>
      <c r="G71">
        <v>4</v>
      </c>
      <c r="H71">
        <v>968</v>
      </c>
      <c r="I71">
        <v>15</v>
      </c>
      <c r="J71">
        <v>26</v>
      </c>
      <c r="K71">
        <v>4</v>
      </c>
      <c r="L71" t="s">
        <v>91</v>
      </c>
    </row>
    <row r="72" spans="1:12" x14ac:dyDescent="0.3">
      <c r="A72">
        <v>71</v>
      </c>
      <c r="B72" t="s">
        <v>18</v>
      </c>
      <c r="C72" t="s">
        <v>77</v>
      </c>
      <c r="D72" t="s">
        <v>83</v>
      </c>
      <c r="E72" t="s">
        <v>88</v>
      </c>
      <c r="F72" t="s">
        <v>89</v>
      </c>
      <c r="G72">
        <v>4</v>
      </c>
      <c r="H72">
        <v>965</v>
      </c>
      <c r="I72">
        <v>0</v>
      </c>
      <c r="J72">
        <v>38</v>
      </c>
      <c r="K72">
        <v>5</v>
      </c>
      <c r="L72" t="s">
        <v>91</v>
      </c>
    </row>
    <row r="73" spans="1:12" x14ac:dyDescent="0.3">
      <c r="A73">
        <v>72</v>
      </c>
      <c r="B73" t="s">
        <v>66</v>
      </c>
      <c r="C73" t="s">
        <v>77</v>
      </c>
      <c r="D73" t="s">
        <v>78</v>
      </c>
      <c r="E73" t="s">
        <v>88</v>
      </c>
      <c r="F73" t="s">
        <v>89</v>
      </c>
      <c r="G73">
        <v>1</v>
      </c>
      <c r="H73">
        <v>776</v>
      </c>
      <c r="I73">
        <v>40</v>
      </c>
      <c r="J73">
        <v>45</v>
      </c>
      <c r="K73">
        <v>1</v>
      </c>
      <c r="L73" t="s">
        <v>91</v>
      </c>
    </row>
    <row r="74" spans="1:12" x14ac:dyDescent="0.3">
      <c r="A74">
        <v>73</v>
      </c>
      <c r="B74" t="s">
        <v>67</v>
      </c>
      <c r="C74" t="s">
        <v>74</v>
      </c>
      <c r="D74" t="s">
        <v>80</v>
      </c>
      <c r="E74" t="s">
        <v>84</v>
      </c>
      <c r="F74" t="s">
        <v>90</v>
      </c>
      <c r="G74">
        <v>2</v>
      </c>
      <c r="H74">
        <v>432</v>
      </c>
      <c r="I74">
        <v>0</v>
      </c>
      <c r="J74">
        <v>56</v>
      </c>
      <c r="K74">
        <v>3</v>
      </c>
      <c r="L74" t="s">
        <v>92</v>
      </c>
    </row>
    <row r="75" spans="1:12" x14ac:dyDescent="0.3">
      <c r="A75">
        <v>74</v>
      </c>
      <c r="B75" t="s">
        <v>68</v>
      </c>
      <c r="C75" t="s">
        <v>76</v>
      </c>
      <c r="D75" t="s">
        <v>81</v>
      </c>
      <c r="E75" t="s">
        <v>87</v>
      </c>
      <c r="F75" t="s">
        <v>89</v>
      </c>
      <c r="G75">
        <v>6</v>
      </c>
      <c r="H75">
        <v>588</v>
      </c>
      <c r="I75">
        <v>15</v>
      </c>
      <c r="J75">
        <v>22</v>
      </c>
      <c r="K75">
        <v>5</v>
      </c>
      <c r="L75" t="s">
        <v>91</v>
      </c>
    </row>
    <row r="76" spans="1:12" x14ac:dyDescent="0.3">
      <c r="A76">
        <v>75</v>
      </c>
      <c r="B76" t="s">
        <v>69</v>
      </c>
      <c r="C76" t="s">
        <v>77</v>
      </c>
      <c r="D76" t="s">
        <v>80</v>
      </c>
      <c r="E76" t="s">
        <v>85</v>
      </c>
      <c r="F76" t="s">
        <v>89</v>
      </c>
      <c r="G76">
        <v>5</v>
      </c>
      <c r="H76">
        <v>1071</v>
      </c>
      <c r="I76">
        <v>30</v>
      </c>
      <c r="J76">
        <v>28</v>
      </c>
      <c r="K76">
        <v>5</v>
      </c>
      <c r="L76" t="s">
        <v>91</v>
      </c>
    </row>
    <row r="77" spans="1:12" x14ac:dyDescent="0.3">
      <c r="A77">
        <v>76</v>
      </c>
      <c r="B77" t="s">
        <v>26</v>
      </c>
      <c r="C77" t="s">
        <v>74</v>
      </c>
      <c r="D77" t="s">
        <v>81</v>
      </c>
      <c r="E77" t="s">
        <v>88</v>
      </c>
      <c r="F77" t="s">
        <v>90</v>
      </c>
      <c r="G77">
        <v>1</v>
      </c>
      <c r="H77">
        <v>157</v>
      </c>
      <c r="I77">
        <v>10</v>
      </c>
      <c r="J77">
        <v>56</v>
      </c>
      <c r="K77">
        <v>1</v>
      </c>
      <c r="L77" t="s">
        <v>91</v>
      </c>
    </row>
    <row r="78" spans="1:12" x14ac:dyDescent="0.3">
      <c r="A78">
        <v>77</v>
      </c>
      <c r="B78" t="s">
        <v>70</v>
      </c>
      <c r="C78" t="s">
        <v>74</v>
      </c>
      <c r="D78" t="s">
        <v>82</v>
      </c>
      <c r="E78" t="s">
        <v>86</v>
      </c>
      <c r="F78" t="s">
        <v>90</v>
      </c>
      <c r="G78">
        <v>4</v>
      </c>
      <c r="H78">
        <v>254</v>
      </c>
      <c r="I78">
        <v>0</v>
      </c>
      <c r="J78">
        <v>16</v>
      </c>
      <c r="K78">
        <v>1</v>
      </c>
      <c r="L78" t="s">
        <v>92</v>
      </c>
    </row>
    <row r="79" spans="1:12" x14ac:dyDescent="0.3">
      <c r="A79">
        <v>78</v>
      </c>
      <c r="B79" t="s">
        <v>71</v>
      </c>
      <c r="C79" t="s">
        <v>74</v>
      </c>
      <c r="D79" t="s">
        <v>80</v>
      </c>
      <c r="E79" t="s">
        <v>88</v>
      </c>
      <c r="F79" t="s">
        <v>90</v>
      </c>
      <c r="G79">
        <v>2</v>
      </c>
      <c r="H79">
        <v>251</v>
      </c>
      <c r="I79">
        <v>25</v>
      </c>
      <c r="J79">
        <v>41</v>
      </c>
      <c r="K79">
        <v>2</v>
      </c>
      <c r="L79" t="s">
        <v>91</v>
      </c>
    </row>
    <row r="80" spans="1:12" x14ac:dyDescent="0.3">
      <c r="A80">
        <v>79</v>
      </c>
      <c r="B80" t="s">
        <v>72</v>
      </c>
      <c r="C80" t="s">
        <v>74</v>
      </c>
      <c r="D80" t="s">
        <v>81</v>
      </c>
      <c r="E80" t="s">
        <v>86</v>
      </c>
      <c r="F80" t="s">
        <v>89</v>
      </c>
      <c r="G80">
        <v>2</v>
      </c>
      <c r="H80">
        <v>498</v>
      </c>
      <c r="I80">
        <v>25</v>
      </c>
      <c r="J80">
        <v>33</v>
      </c>
      <c r="K80">
        <v>1</v>
      </c>
      <c r="L80" t="s">
        <v>91</v>
      </c>
    </row>
    <row r="81" spans="1:12" x14ac:dyDescent="0.3">
      <c r="A81">
        <v>80</v>
      </c>
      <c r="B81" t="s">
        <v>73</v>
      </c>
      <c r="C81" t="s">
        <v>77</v>
      </c>
      <c r="D81" t="s">
        <v>80</v>
      </c>
      <c r="E81" t="s">
        <v>84</v>
      </c>
      <c r="F81" t="s">
        <v>89</v>
      </c>
      <c r="G81">
        <v>6</v>
      </c>
      <c r="H81">
        <v>986</v>
      </c>
      <c r="I81">
        <v>15</v>
      </c>
      <c r="J81">
        <v>49</v>
      </c>
      <c r="K81">
        <v>3</v>
      </c>
      <c r="L81" t="s">
        <v>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BB666-4603-4F0E-9635-CF4429B84730}">
  <dimension ref="A1:M64"/>
  <sheetViews>
    <sheetView workbookViewId="0">
      <selection activeCell="P9" sqref="P9"/>
    </sheetView>
  </sheetViews>
  <sheetFormatPr defaultRowHeight="14.4" x14ac:dyDescent="0.3"/>
  <cols>
    <col min="1" max="1" width="12.5546875" bestFit="1" customWidth="1"/>
    <col min="2" max="2" width="17.21875" bestFit="1" customWidth="1"/>
    <col min="12" max="12" width="13.44140625" bestFit="1" customWidth="1"/>
    <col min="13" max="13" width="17.21875" bestFit="1" customWidth="1"/>
  </cols>
  <sheetData>
    <row r="1" spans="1:13" x14ac:dyDescent="0.3">
      <c r="A1" s="12" t="s">
        <v>97</v>
      </c>
      <c r="B1" t="s">
        <v>96</v>
      </c>
      <c r="L1" s="12" t="s">
        <v>2</v>
      </c>
      <c r="M1" t="s">
        <v>98</v>
      </c>
    </row>
    <row r="2" spans="1:13" x14ac:dyDescent="0.3">
      <c r="A2" s="13" t="s">
        <v>14</v>
      </c>
      <c r="B2" s="11">
        <v>1147</v>
      </c>
    </row>
    <row r="3" spans="1:13" x14ac:dyDescent="0.3">
      <c r="A3" s="13" t="s">
        <v>33</v>
      </c>
      <c r="B3" s="11">
        <v>631</v>
      </c>
      <c r="L3" s="12" t="s">
        <v>94</v>
      </c>
      <c r="M3" t="s">
        <v>96</v>
      </c>
    </row>
    <row r="4" spans="1:13" x14ac:dyDescent="0.3">
      <c r="A4" s="13" t="s">
        <v>58</v>
      </c>
      <c r="B4" s="11">
        <v>151</v>
      </c>
      <c r="L4" s="13" t="s">
        <v>79</v>
      </c>
      <c r="M4" s="11">
        <v>6310</v>
      </c>
    </row>
    <row r="5" spans="1:13" x14ac:dyDescent="0.3">
      <c r="A5" s="13" t="s">
        <v>61</v>
      </c>
      <c r="B5" s="11">
        <v>132</v>
      </c>
      <c r="L5" s="13" t="s">
        <v>80</v>
      </c>
      <c r="M5" s="11">
        <v>11577</v>
      </c>
    </row>
    <row r="6" spans="1:13" x14ac:dyDescent="0.3">
      <c r="A6" s="13" t="s">
        <v>23</v>
      </c>
      <c r="B6" s="11">
        <v>1006</v>
      </c>
      <c r="L6" s="13" t="s">
        <v>83</v>
      </c>
      <c r="M6" s="11">
        <v>2627</v>
      </c>
    </row>
    <row r="7" spans="1:13" x14ac:dyDescent="0.3">
      <c r="A7" s="13" t="s">
        <v>59</v>
      </c>
      <c r="B7" s="11">
        <v>594</v>
      </c>
      <c r="L7" s="13" t="s">
        <v>81</v>
      </c>
      <c r="M7" s="11">
        <v>11418</v>
      </c>
    </row>
    <row r="8" spans="1:13" x14ac:dyDescent="0.3">
      <c r="A8" s="13" t="s">
        <v>40</v>
      </c>
      <c r="B8" s="11">
        <v>341</v>
      </c>
      <c r="L8" s="13" t="s">
        <v>82</v>
      </c>
      <c r="M8" s="11">
        <v>11215</v>
      </c>
    </row>
    <row r="9" spans="1:13" x14ac:dyDescent="0.3">
      <c r="A9" s="13" t="s">
        <v>19</v>
      </c>
      <c r="B9" s="11">
        <v>1564</v>
      </c>
      <c r="L9" s="13" t="s">
        <v>78</v>
      </c>
      <c r="M9" s="11">
        <v>8962</v>
      </c>
    </row>
    <row r="10" spans="1:13" x14ac:dyDescent="0.3">
      <c r="A10" s="13" t="s">
        <v>52</v>
      </c>
      <c r="B10" s="11">
        <v>1567</v>
      </c>
      <c r="L10" s="13" t="s">
        <v>95</v>
      </c>
      <c r="M10" s="11">
        <v>52109</v>
      </c>
    </row>
    <row r="11" spans="1:13" x14ac:dyDescent="0.3">
      <c r="A11" s="13" t="s">
        <v>12</v>
      </c>
      <c r="B11" s="11">
        <v>437</v>
      </c>
    </row>
    <row r="12" spans="1:13" x14ac:dyDescent="0.3">
      <c r="A12" s="13" t="s">
        <v>29</v>
      </c>
      <c r="B12" s="11">
        <v>773</v>
      </c>
    </row>
    <row r="13" spans="1:13" x14ac:dyDescent="0.3">
      <c r="A13" s="13" t="s">
        <v>44</v>
      </c>
      <c r="B13" s="11">
        <v>413</v>
      </c>
    </row>
    <row r="14" spans="1:13" x14ac:dyDescent="0.3">
      <c r="A14" s="13" t="s">
        <v>13</v>
      </c>
      <c r="B14" s="11">
        <v>560</v>
      </c>
    </row>
    <row r="15" spans="1:13" x14ac:dyDescent="0.3">
      <c r="A15" s="13" t="s">
        <v>51</v>
      </c>
      <c r="B15" s="11">
        <v>157</v>
      </c>
    </row>
    <row r="16" spans="1:13" x14ac:dyDescent="0.3">
      <c r="A16" s="13" t="s">
        <v>70</v>
      </c>
      <c r="B16" s="11">
        <v>254</v>
      </c>
    </row>
    <row r="17" spans="1:2" x14ac:dyDescent="0.3">
      <c r="A17" s="13" t="s">
        <v>68</v>
      </c>
      <c r="B17" s="11">
        <v>588</v>
      </c>
    </row>
    <row r="18" spans="1:2" x14ac:dyDescent="0.3">
      <c r="A18" s="13" t="s">
        <v>37</v>
      </c>
      <c r="B18" s="11">
        <v>548</v>
      </c>
    </row>
    <row r="19" spans="1:2" x14ac:dyDescent="0.3">
      <c r="A19" s="13" t="s">
        <v>31</v>
      </c>
      <c r="B19" s="11">
        <v>1529</v>
      </c>
    </row>
    <row r="20" spans="1:2" x14ac:dyDescent="0.3">
      <c r="A20" s="13" t="s">
        <v>50</v>
      </c>
      <c r="B20" s="11">
        <v>2148</v>
      </c>
    </row>
    <row r="21" spans="1:2" x14ac:dyDescent="0.3">
      <c r="A21" s="13" t="s">
        <v>55</v>
      </c>
      <c r="B21" s="11">
        <v>613</v>
      </c>
    </row>
    <row r="22" spans="1:2" x14ac:dyDescent="0.3">
      <c r="A22" s="13" t="s">
        <v>34</v>
      </c>
      <c r="B22" s="11">
        <v>1178</v>
      </c>
    </row>
    <row r="23" spans="1:2" x14ac:dyDescent="0.3">
      <c r="A23" s="13" t="s">
        <v>71</v>
      </c>
      <c r="B23" s="11">
        <v>251</v>
      </c>
    </row>
    <row r="24" spans="1:2" x14ac:dyDescent="0.3">
      <c r="A24" s="13" t="s">
        <v>24</v>
      </c>
      <c r="B24" s="11">
        <v>890</v>
      </c>
    </row>
    <row r="25" spans="1:2" x14ac:dyDescent="0.3">
      <c r="A25" s="13" t="s">
        <v>62</v>
      </c>
      <c r="B25" s="11">
        <v>364</v>
      </c>
    </row>
    <row r="26" spans="1:2" x14ac:dyDescent="0.3">
      <c r="A26" s="13" t="s">
        <v>18</v>
      </c>
      <c r="B26" s="11">
        <v>1786</v>
      </c>
    </row>
    <row r="27" spans="1:2" x14ac:dyDescent="0.3">
      <c r="A27" s="13" t="s">
        <v>60</v>
      </c>
      <c r="B27" s="11">
        <v>365</v>
      </c>
    </row>
    <row r="28" spans="1:2" x14ac:dyDescent="0.3">
      <c r="A28" s="13" t="s">
        <v>46</v>
      </c>
      <c r="B28" s="11">
        <v>1315</v>
      </c>
    </row>
    <row r="29" spans="1:2" x14ac:dyDescent="0.3">
      <c r="A29" s="13" t="s">
        <v>20</v>
      </c>
      <c r="B29" s="11">
        <v>1105</v>
      </c>
    </row>
    <row r="30" spans="1:2" x14ac:dyDescent="0.3">
      <c r="A30" s="13" t="s">
        <v>35</v>
      </c>
      <c r="B30" s="11">
        <v>941</v>
      </c>
    </row>
    <row r="31" spans="1:2" x14ac:dyDescent="0.3">
      <c r="A31" s="13" t="s">
        <v>65</v>
      </c>
      <c r="B31" s="11">
        <v>968</v>
      </c>
    </row>
    <row r="32" spans="1:2" x14ac:dyDescent="0.3">
      <c r="A32" s="13" t="s">
        <v>53</v>
      </c>
      <c r="B32" s="11">
        <v>200</v>
      </c>
    </row>
    <row r="33" spans="1:2" x14ac:dyDescent="0.3">
      <c r="A33" s="13" t="s">
        <v>72</v>
      </c>
      <c r="B33" s="11">
        <v>498</v>
      </c>
    </row>
    <row r="34" spans="1:2" x14ac:dyDescent="0.3">
      <c r="A34" s="13" t="s">
        <v>15</v>
      </c>
      <c r="B34" s="11">
        <v>1367</v>
      </c>
    </row>
    <row r="35" spans="1:2" x14ac:dyDescent="0.3">
      <c r="A35" s="13" t="s">
        <v>49</v>
      </c>
      <c r="B35" s="11">
        <v>587</v>
      </c>
    </row>
    <row r="36" spans="1:2" x14ac:dyDescent="0.3">
      <c r="A36" s="13" t="s">
        <v>57</v>
      </c>
      <c r="B36" s="11">
        <v>1175</v>
      </c>
    </row>
    <row r="37" spans="1:2" x14ac:dyDescent="0.3">
      <c r="A37" s="13" t="s">
        <v>30</v>
      </c>
      <c r="B37" s="11">
        <v>798</v>
      </c>
    </row>
    <row r="38" spans="1:2" x14ac:dyDescent="0.3">
      <c r="A38" s="13" t="s">
        <v>64</v>
      </c>
      <c r="B38" s="11">
        <v>880</v>
      </c>
    </row>
    <row r="39" spans="1:2" x14ac:dyDescent="0.3">
      <c r="A39" s="13" t="s">
        <v>16</v>
      </c>
      <c r="B39" s="11">
        <v>460</v>
      </c>
    </row>
    <row r="40" spans="1:2" x14ac:dyDescent="0.3">
      <c r="A40" s="13" t="s">
        <v>45</v>
      </c>
      <c r="B40" s="11">
        <v>1141</v>
      </c>
    </row>
    <row r="41" spans="1:2" x14ac:dyDescent="0.3">
      <c r="A41" s="13" t="s">
        <v>32</v>
      </c>
      <c r="B41" s="11">
        <v>572</v>
      </c>
    </row>
    <row r="42" spans="1:2" x14ac:dyDescent="0.3">
      <c r="A42" s="13" t="s">
        <v>41</v>
      </c>
      <c r="B42" s="11">
        <v>232</v>
      </c>
    </row>
    <row r="43" spans="1:2" x14ac:dyDescent="0.3">
      <c r="A43" s="13" t="s">
        <v>17</v>
      </c>
      <c r="B43" s="11">
        <v>274</v>
      </c>
    </row>
    <row r="44" spans="1:2" x14ac:dyDescent="0.3">
      <c r="A44" s="13" t="s">
        <v>56</v>
      </c>
      <c r="B44" s="11">
        <v>826</v>
      </c>
    </row>
    <row r="45" spans="1:2" x14ac:dyDescent="0.3">
      <c r="A45" s="13" t="s">
        <v>43</v>
      </c>
      <c r="B45" s="11">
        <v>231</v>
      </c>
    </row>
    <row r="46" spans="1:2" x14ac:dyDescent="0.3">
      <c r="A46" s="13" t="s">
        <v>21</v>
      </c>
      <c r="B46" s="11">
        <v>1487</v>
      </c>
    </row>
    <row r="47" spans="1:2" x14ac:dyDescent="0.3">
      <c r="A47" s="13" t="s">
        <v>25</v>
      </c>
      <c r="B47" s="11">
        <v>1043</v>
      </c>
    </row>
    <row r="48" spans="1:2" x14ac:dyDescent="0.3">
      <c r="A48" s="13" t="s">
        <v>73</v>
      </c>
      <c r="B48" s="11">
        <v>986</v>
      </c>
    </row>
    <row r="49" spans="1:2" x14ac:dyDescent="0.3">
      <c r="A49" s="13" t="s">
        <v>69</v>
      </c>
      <c r="B49" s="11">
        <v>1071</v>
      </c>
    </row>
    <row r="50" spans="1:2" x14ac:dyDescent="0.3">
      <c r="A50" s="13" t="s">
        <v>38</v>
      </c>
      <c r="B50" s="11">
        <v>989</v>
      </c>
    </row>
    <row r="51" spans="1:2" x14ac:dyDescent="0.3">
      <c r="A51" s="13" t="s">
        <v>42</v>
      </c>
      <c r="B51" s="11">
        <v>720</v>
      </c>
    </row>
    <row r="52" spans="1:2" x14ac:dyDescent="0.3">
      <c r="A52" s="13" t="s">
        <v>47</v>
      </c>
      <c r="B52" s="11">
        <v>1995</v>
      </c>
    </row>
    <row r="53" spans="1:2" x14ac:dyDescent="0.3">
      <c r="A53" s="13" t="s">
        <v>22</v>
      </c>
      <c r="B53" s="11">
        <v>1986</v>
      </c>
    </row>
    <row r="54" spans="1:2" x14ac:dyDescent="0.3">
      <c r="A54" s="13" t="s">
        <v>54</v>
      </c>
      <c r="B54" s="11">
        <v>803</v>
      </c>
    </row>
    <row r="55" spans="1:2" x14ac:dyDescent="0.3">
      <c r="A55" s="13" t="s">
        <v>39</v>
      </c>
      <c r="B55" s="11">
        <v>1730</v>
      </c>
    </row>
    <row r="56" spans="1:2" x14ac:dyDescent="0.3">
      <c r="A56" s="13" t="s">
        <v>66</v>
      </c>
      <c r="B56" s="11">
        <v>776</v>
      </c>
    </row>
    <row r="57" spans="1:2" x14ac:dyDescent="0.3">
      <c r="A57" s="13" t="s">
        <v>67</v>
      </c>
      <c r="B57" s="11">
        <v>432</v>
      </c>
    </row>
    <row r="58" spans="1:2" x14ac:dyDescent="0.3">
      <c r="A58" s="13" t="s">
        <v>28</v>
      </c>
      <c r="B58" s="11">
        <v>905</v>
      </c>
    </row>
    <row r="59" spans="1:2" x14ac:dyDescent="0.3">
      <c r="A59" s="13" t="s">
        <v>36</v>
      </c>
      <c r="B59" s="11">
        <v>631</v>
      </c>
    </row>
    <row r="60" spans="1:2" x14ac:dyDescent="0.3">
      <c r="A60" s="13" t="s">
        <v>27</v>
      </c>
      <c r="B60" s="11">
        <v>906</v>
      </c>
    </row>
    <row r="61" spans="1:2" x14ac:dyDescent="0.3">
      <c r="A61" s="13" t="s">
        <v>26</v>
      </c>
      <c r="B61" s="11">
        <v>1155</v>
      </c>
    </row>
    <row r="62" spans="1:2" x14ac:dyDescent="0.3">
      <c r="A62" s="13" t="s">
        <v>48</v>
      </c>
      <c r="B62" s="11">
        <v>265</v>
      </c>
    </row>
    <row r="63" spans="1:2" x14ac:dyDescent="0.3">
      <c r="A63" s="13" t="s">
        <v>63</v>
      </c>
      <c r="B63" s="11">
        <v>672</v>
      </c>
    </row>
    <row r="64" spans="1:2" x14ac:dyDescent="0.3">
      <c r="A64" s="13" t="s">
        <v>95</v>
      </c>
      <c r="B64" s="11">
        <v>52109</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DB311-EBFD-4EE8-9F6C-29E52E529EF6}">
  <dimension ref="A1:I7"/>
  <sheetViews>
    <sheetView workbookViewId="0">
      <selection activeCell="E23" sqref="E23"/>
    </sheetView>
  </sheetViews>
  <sheetFormatPr defaultRowHeight="14.4" x14ac:dyDescent="0.3"/>
  <cols>
    <col min="1" max="1" width="12.5546875" bestFit="1" customWidth="1"/>
    <col min="2" max="2" width="15.44140625" bestFit="1" customWidth="1"/>
    <col min="8" max="8" width="12.5546875" bestFit="1" customWidth="1"/>
    <col min="9" max="9" width="20.33203125" bestFit="1" customWidth="1"/>
  </cols>
  <sheetData>
    <row r="1" spans="1:9" x14ac:dyDescent="0.3">
      <c r="H1" s="12" t="s">
        <v>101</v>
      </c>
      <c r="I1" t="s">
        <v>100</v>
      </c>
    </row>
    <row r="2" spans="1:9" x14ac:dyDescent="0.3">
      <c r="H2" s="13" t="s">
        <v>88</v>
      </c>
      <c r="I2" s="11">
        <v>576.1875</v>
      </c>
    </row>
    <row r="3" spans="1:9" x14ac:dyDescent="0.3">
      <c r="A3" s="12" t="s">
        <v>99</v>
      </c>
      <c r="B3" t="s">
        <v>93</v>
      </c>
      <c r="H3" s="13" t="s">
        <v>85</v>
      </c>
      <c r="I3" s="11">
        <v>681.73333333333335</v>
      </c>
    </row>
    <row r="4" spans="1:9" x14ac:dyDescent="0.3">
      <c r="A4" s="13" t="s">
        <v>90</v>
      </c>
      <c r="B4" s="11">
        <v>39</v>
      </c>
      <c r="H4" s="13" t="s">
        <v>84</v>
      </c>
      <c r="I4" s="11">
        <v>638.65</v>
      </c>
    </row>
    <row r="5" spans="1:9" x14ac:dyDescent="0.3">
      <c r="A5" s="13" t="s">
        <v>89</v>
      </c>
      <c r="B5" s="11">
        <v>41</v>
      </c>
      <c r="H5" s="13" t="s">
        <v>86</v>
      </c>
      <c r="I5" s="11">
        <v>710.33333333333337</v>
      </c>
    </row>
    <row r="6" spans="1:9" x14ac:dyDescent="0.3">
      <c r="A6" s="13" t="s">
        <v>95</v>
      </c>
      <c r="B6" s="11">
        <v>80</v>
      </c>
      <c r="H6" s="13" t="s">
        <v>87</v>
      </c>
      <c r="I6" s="11">
        <v>674.9</v>
      </c>
    </row>
    <row r="7" spans="1:9" x14ac:dyDescent="0.3">
      <c r="H7" s="13" t="s">
        <v>95</v>
      </c>
      <c r="I7" s="11">
        <v>651.36249999999995</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EE54-4B0E-4493-A8C2-32AF7B173656}">
  <dimension ref="A1:J12"/>
  <sheetViews>
    <sheetView zoomScale="73" workbookViewId="0">
      <selection activeCell="E11" sqref="E11"/>
    </sheetView>
  </sheetViews>
  <sheetFormatPr defaultRowHeight="14.4" x14ac:dyDescent="0.3"/>
  <cols>
    <col min="1" max="1" width="12.5546875" bestFit="1" customWidth="1"/>
    <col min="2" max="2" width="17.21875" bestFit="1" customWidth="1"/>
    <col min="9" max="9" width="12.5546875" bestFit="1" customWidth="1"/>
    <col min="10" max="10" width="15.44140625" bestFit="1" customWidth="1"/>
  </cols>
  <sheetData>
    <row r="1" spans="1:10" x14ac:dyDescent="0.3">
      <c r="I1" s="12" t="s">
        <v>103</v>
      </c>
      <c r="J1" t="s">
        <v>93</v>
      </c>
    </row>
    <row r="2" spans="1:10" x14ac:dyDescent="0.3">
      <c r="I2" s="13">
        <v>1</v>
      </c>
      <c r="J2" s="11">
        <v>17</v>
      </c>
    </row>
    <row r="3" spans="1:10" x14ac:dyDescent="0.3">
      <c r="A3" s="12" t="s">
        <v>102</v>
      </c>
      <c r="B3" t="s">
        <v>96</v>
      </c>
      <c r="I3" s="13">
        <v>2</v>
      </c>
      <c r="J3" s="11">
        <v>19</v>
      </c>
    </row>
    <row r="4" spans="1:10" x14ac:dyDescent="0.3">
      <c r="A4" s="13">
        <v>0</v>
      </c>
      <c r="B4" s="11">
        <v>10658</v>
      </c>
      <c r="I4" s="13">
        <v>3</v>
      </c>
      <c r="J4" s="11">
        <v>13</v>
      </c>
    </row>
    <row r="5" spans="1:10" x14ac:dyDescent="0.3">
      <c r="A5" s="13">
        <v>5</v>
      </c>
      <c r="B5" s="11">
        <v>3859</v>
      </c>
      <c r="I5" s="13">
        <v>4</v>
      </c>
      <c r="J5" s="11">
        <v>20</v>
      </c>
    </row>
    <row r="6" spans="1:10" x14ac:dyDescent="0.3">
      <c r="A6" s="13">
        <v>10</v>
      </c>
      <c r="B6" s="11">
        <v>5205</v>
      </c>
      <c r="I6" s="13">
        <v>5</v>
      </c>
      <c r="J6" s="11">
        <v>11</v>
      </c>
    </row>
    <row r="7" spans="1:10" x14ac:dyDescent="0.3">
      <c r="A7" s="13">
        <v>15</v>
      </c>
      <c r="B7" s="11">
        <v>7610</v>
      </c>
      <c r="I7" s="13" t="s">
        <v>95</v>
      </c>
      <c r="J7" s="11">
        <v>80</v>
      </c>
    </row>
    <row r="8" spans="1:10" x14ac:dyDescent="0.3">
      <c r="A8" s="13">
        <v>20</v>
      </c>
      <c r="B8" s="11">
        <v>5025</v>
      </c>
    </row>
    <row r="9" spans="1:10" x14ac:dyDescent="0.3">
      <c r="A9" s="13">
        <v>25</v>
      </c>
      <c r="B9" s="11">
        <v>3870</v>
      </c>
    </row>
    <row r="10" spans="1:10" x14ac:dyDescent="0.3">
      <c r="A10" s="13">
        <v>30</v>
      </c>
      <c r="B10" s="11">
        <v>4170</v>
      </c>
    </row>
    <row r="11" spans="1:10" x14ac:dyDescent="0.3">
      <c r="A11" s="13">
        <v>40</v>
      </c>
      <c r="B11" s="11">
        <v>11712</v>
      </c>
    </row>
    <row r="12" spans="1:10" x14ac:dyDescent="0.3">
      <c r="A12" s="13" t="s">
        <v>95</v>
      </c>
      <c r="B12" s="11">
        <v>52109</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85282-9C13-41F4-92C9-32379D6E2015}">
  <dimension ref="A1:J8"/>
  <sheetViews>
    <sheetView zoomScale="67" workbookViewId="0">
      <selection activeCell="H32" sqref="H32"/>
    </sheetView>
  </sheetViews>
  <sheetFormatPr defaultRowHeight="14.4" x14ac:dyDescent="0.3"/>
  <cols>
    <col min="1" max="1" width="12.5546875" bestFit="1" customWidth="1"/>
    <col min="2" max="2" width="26.44140625" bestFit="1" customWidth="1"/>
    <col min="9" max="9" width="13.6640625" bestFit="1" customWidth="1"/>
    <col min="10" max="10" width="15.44140625" bestFit="1" customWidth="1"/>
  </cols>
  <sheetData>
    <row r="1" spans="1:10" x14ac:dyDescent="0.3">
      <c r="I1" s="12" t="s">
        <v>94</v>
      </c>
      <c r="J1" t="s">
        <v>93</v>
      </c>
    </row>
    <row r="2" spans="1:10" x14ac:dyDescent="0.3">
      <c r="I2" s="13" t="s">
        <v>92</v>
      </c>
      <c r="J2" s="11">
        <v>11</v>
      </c>
    </row>
    <row r="3" spans="1:10" x14ac:dyDescent="0.3">
      <c r="A3" s="12" t="s">
        <v>94</v>
      </c>
      <c r="B3" t="s">
        <v>104</v>
      </c>
      <c r="I3" s="13" t="s">
        <v>91</v>
      </c>
      <c r="J3" s="11">
        <v>69</v>
      </c>
    </row>
    <row r="4" spans="1:10" x14ac:dyDescent="0.3">
      <c r="A4" s="13" t="s">
        <v>74</v>
      </c>
      <c r="B4" s="11">
        <v>39.583333333333336</v>
      </c>
      <c r="I4" s="13" t="s">
        <v>95</v>
      </c>
      <c r="J4" s="11">
        <v>80</v>
      </c>
    </row>
    <row r="5" spans="1:10" x14ac:dyDescent="0.3">
      <c r="A5" s="13" t="s">
        <v>77</v>
      </c>
      <c r="B5" s="11">
        <v>35.222222222222221</v>
      </c>
    </row>
    <row r="6" spans="1:10" x14ac:dyDescent="0.3">
      <c r="A6" s="13" t="s">
        <v>76</v>
      </c>
      <c r="B6" s="11">
        <v>32.916666666666664</v>
      </c>
    </row>
    <row r="7" spans="1:10" x14ac:dyDescent="0.3">
      <c r="A7" s="13" t="s">
        <v>75</v>
      </c>
      <c r="B7" s="11">
        <v>39.285714285714285</v>
      </c>
    </row>
    <row r="8" spans="1:10" x14ac:dyDescent="0.3">
      <c r="A8" s="13" t="s">
        <v>95</v>
      </c>
      <c r="B8" s="11">
        <v>36.549999999999997</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4713-4677-4180-8036-48040B0A7DB2}">
  <dimension ref="A1:E81"/>
  <sheetViews>
    <sheetView topLeftCell="A3" zoomScale="78" workbookViewId="0">
      <selection activeCell="Q2" sqref="Q2"/>
    </sheetView>
  </sheetViews>
  <sheetFormatPr defaultRowHeight="14.4" x14ac:dyDescent="0.3"/>
  <cols>
    <col min="1" max="1" width="21.109375" customWidth="1"/>
    <col min="4" max="4" width="14.44140625" customWidth="1"/>
  </cols>
  <sheetData>
    <row r="1" spans="1:5" x14ac:dyDescent="0.3">
      <c r="A1" s="1" t="s">
        <v>9</v>
      </c>
    </row>
    <row r="2" spans="1:5" x14ac:dyDescent="0.3">
      <c r="A2">
        <v>39</v>
      </c>
      <c r="D2" t="s">
        <v>105</v>
      </c>
      <c r="E2">
        <f>_xlfn.QUARTILE.EXC(A2:A81,1)</f>
        <v>23.25</v>
      </c>
    </row>
    <row r="3" spans="1:5" x14ac:dyDescent="0.3">
      <c r="A3">
        <v>22</v>
      </c>
      <c r="D3" t="s">
        <v>106</v>
      </c>
      <c r="E3">
        <f>_xlfn.QUARTILE.EXC(A2:A81,3)</f>
        <v>47.75</v>
      </c>
    </row>
    <row r="4" spans="1:5" x14ac:dyDescent="0.3">
      <c r="A4">
        <v>48</v>
      </c>
      <c r="D4" t="s">
        <v>107</v>
      </c>
      <c r="E4">
        <f>E3-E2</f>
        <v>24.5</v>
      </c>
    </row>
    <row r="5" spans="1:5" x14ac:dyDescent="0.3">
      <c r="A5">
        <v>57</v>
      </c>
      <c r="D5" t="s">
        <v>108</v>
      </c>
      <c r="E5">
        <f>E2-1.5*E4</f>
        <v>-13.5</v>
      </c>
    </row>
    <row r="6" spans="1:5" x14ac:dyDescent="0.3">
      <c r="A6">
        <v>55</v>
      </c>
      <c r="D6" t="s">
        <v>109</v>
      </c>
      <c r="E6">
        <f>E3+1.5*E4</f>
        <v>84.5</v>
      </c>
    </row>
    <row r="7" spans="1:5" x14ac:dyDescent="0.3">
      <c r="A7">
        <v>41</v>
      </c>
    </row>
    <row r="8" spans="1:5" x14ac:dyDescent="0.3">
      <c r="A8">
        <v>19</v>
      </c>
    </row>
    <row r="9" spans="1:5" x14ac:dyDescent="0.3">
      <c r="A9">
        <v>57</v>
      </c>
    </row>
    <row r="10" spans="1:5" x14ac:dyDescent="0.3">
      <c r="A10">
        <v>22</v>
      </c>
    </row>
    <row r="11" spans="1:5" x14ac:dyDescent="0.3">
      <c r="A11">
        <v>23</v>
      </c>
    </row>
    <row r="12" spans="1:5" x14ac:dyDescent="0.3">
      <c r="A12">
        <v>51</v>
      </c>
    </row>
    <row r="13" spans="1:5" x14ac:dyDescent="0.3">
      <c r="A13">
        <v>24</v>
      </c>
    </row>
    <row r="14" spans="1:5" x14ac:dyDescent="0.3">
      <c r="A14">
        <v>47</v>
      </c>
    </row>
    <row r="15" spans="1:5" x14ac:dyDescent="0.3">
      <c r="A15">
        <v>32</v>
      </c>
    </row>
    <row r="16" spans="1:5" x14ac:dyDescent="0.3">
      <c r="A16">
        <v>19</v>
      </c>
    </row>
    <row r="17" spans="1:1" x14ac:dyDescent="0.3">
      <c r="A17">
        <v>46</v>
      </c>
    </row>
    <row r="18" spans="1:1" x14ac:dyDescent="0.3">
      <c r="A18">
        <v>56</v>
      </c>
    </row>
    <row r="19" spans="1:1" x14ac:dyDescent="0.3">
      <c r="A19">
        <v>44</v>
      </c>
    </row>
    <row r="20" spans="1:1" x14ac:dyDescent="0.3">
      <c r="A20">
        <v>27</v>
      </c>
    </row>
    <row r="21" spans="1:1" x14ac:dyDescent="0.3">
      <c r="A21">
        <v>27</v>
      </c>
    </row>
    <row r="22" spans="1:1" x14ac:dyDescent="0.3">
      <c r="A22">
        <v>44</v>
      </c>
    </row>
    <row r="23" spans="1:1" x14ac:dyDescent="0.3">
      <c r="A23">
        <v>38</v>
      </c>
    </row>
    <row r="24" spans="1:1" x14ac:dyDescent="0.3">
      <c r="A24">
        <v>20</v>
      </c>
    </row>
    <row r="25" spans="1:1" x14ac:dyDescent="0.3">
      <c r="A25">
        <v>17</v>
      </c>
    </row>
    <row r="26" spans="1:1" x14ac:dyDescent="0.3">
      <c r="A26">
        <v>36</v>
      </c>
    </row>
    <row r="27" spans="1:1" x14ac:dyDescent="0.3">
      <c r="A27">
        <v>34</v>
      </c>
    </row>
    <row r="28" spans="1:1" x14ac:dyDescent="0.3">
      <c r="A28">
        <v>16</v>
      </c>
    </row>
    <row r="29" spans="1:1" x14ac:dyDescent="0.3">
      <c r="A29">
        <v>30</v>
      </c>
    </row>
    <row r="30" spans="1:1" x14ac:dyDescent="0.3">
      <c r="A30">
        <v>50</v>
      </c>
    </row>
    <row r="31" spans="1:1" x14ac:dyDescent="0.3">
      <c r="A31">
        <v>28</v>
      </c>
    </row>
    <row r="32" spans="1:1" x14ac:dyDescent="0.3">
      <c r="A32">
        <v>58</v>
      </c>
    </row>
    <row r="33" spans="1:1" x14ac:dyDescent="0.3">
      <c r="A33">
        <v>20</v>
      </c>
    </row>
    <row r="34" spans="1:1" x14ac:dyDescent="0.3">
      <c r="A34">
        <v>17</v>
      </c>
    </row>
    <row r="35" spans="1:1" x14ac:dyDescent="0.3">
      <c r="A35">
        <v>53</v>
      </c>
    </row>
    <row r="36" spans="1:1" x14ac:dyDescent="0.3">
      <c r="A36">
        <v>16</v>
      </c>
    </row>
    <row r="37" spans="1:1" x14ac:dyDescent="0.3">
      <c r="A37">
        <v>25</v>
      </c>
    </row>
    <row r="38" spans="1:1" x14ac:dyDescent="0.3">
      <c r="A38">
        <v>54</v>
      </c>
    </row>
    <row r="39" spans="1:1" x14ac:dyDescent="0.3">
      <c r="A39">
        <v>38</v>
      </c>
    </row>
    <row r="40" spans="1:1" x14ac:dyDescent="0.3">
      <c r="A40">
        <v>42</v>
      </c>
    </row>
    <row r="41" spans="1:1" x14ac:dyDescent="0.3">
      <c r="A41">
        <v>26</v>
      </c>
    </row>
    <row r="42" spans="1:1" x14ac:dyDescent="0.3">
      <c r="A42">
        <v>54</v>
      </c>
    </row>
    <row r="43" spans="1:1" x14ac:dyDescent="0.3">
      <c r="A43">
        <v>56</v>
      </c>
    </row>
    <row r="44" spans="1:1" x14ac:dyDescent="0.3">
      <c r="A44">
        <v>47</v>
      </c>
    </row>
    <row r="45" spans="1:1" x14ac:dyDescent="0.3">
      <c r="A45">
        <v>20</v>
      </c>
    </row>
    <row r="46" spans="1:1" x14ac:dyDescent="0.3">
      <c r="A46">
        <v>41</v>
      </c>
    </row>
    <row r="47" spans="1:1" x14ac:dyDescent="0.3">
      <c r="A47">
        <v>41</v>
      </c>
    </row>
    <row r="48" spans="1:1" x14ac:dyDescent="0.3">
      <c r="A48">
        <v>16</v>
      </c>
    </row>
    <row r="49" spans="1:1" x14ac:dyDescent="0.3">
      <c r="A49">
        <v>22</v>
      </c>
    </row>
    <row r="50" spans="1:1" x14ac:dyDescent="0.3">
      <c r="A50">
        <v>57</v>
      </c>
    </row>
    <row r="51" spans="1:1" x14ac:dyDescent="0.3">
      <c r="A51">
        <v>49</v>
      </c>
    </row>
    <row r="52" spans="1:1" x14ac:dyDescent="0.3">
      <c r="A52">
        <v>15</v>
      </c>
    </row>
    <row r="53" spans="1:1" x14ac:dyDescent="0.3">
      <c r="A53">
        <v>30</v>
      </c>
    </row>
    <row r="54" spans="1:1" x14ac:dyDescent="0.3">
      <c r="A54">
        <v>45</v>
      </c>
    </row>
    <row r="55" spans="1:1" x14ac:dyDescent="0.3">
      <c r="A55">
        <v>48</v>
      </c>
    </row>
    <row r="56" spans="1:1" x14ac:dyDescent="0.3">
      <c r="A56">
        <v>60</v>
      </c>
    </row>
    <row r="57" spans="1:1" x14ac:dyDescent="0.3">
      <c r="A57">
        <v>30</v>
      </c>
    </row>
    <row r="58" spans="1:1" x14ac:dyDescent="0.3">
      <c r="A58">
        <v>47</v>
      </c>
    </row>
    <row r="59" spans="1:1" x14ac:dyDescent="0.3">
      <c r="A59">
        <v>30</v>
      </c>
    </row>
    <row r="60" spans="1:1" x14ac:dyDescent="0.3">
      <c r="A60">
        <v>37</v>
      </c>
    </row>
    <row r="61" spans="1:1" x14ac:dyDescent="0.3">
      <c r="A61">
        <v>47</v>
      </c>
    </row>
    <row r="62" spans="1:1" x14ac:dyDescent="0.3">
      <c r="A62">
        <v>22</v>
      </c>
    </row>
    <row r="63" spans="1:1" x14ac:dyDescent="0.3">
      <c r="A63">
        <v>46</v>
      </c>
    </row>
    <row r="64" spans="1:1" x14ac:dyDescent="0.3">
      <c r="A64">
        <v>49</v>
      </c>
    </row>
    <row r="65" spans="1:1" x14ac:dyDescent="0.3">
      <c r="A65">
        <v>36</v>
      </c>
    </row>
    <row r="66" spans="1:1" x14ac:dyDescent="0.3">
      <c r="A66">
        <v>45</v>
      </c>
    </row>
    <row r="67" spans="1:1" x14ac:dyDescent="0.3">
      <c r="A67">
        <v>22</v>
      </c>
    </row>
    <row r="68" spans="1:1" x14ac:dyDescent="0.3">
      <c r="A68">
        <v>32</v>
      </c>
    </row>
    <row r="69" spans="1:1" x14ac:dyDescent="0.3">
      <c r="A69">
        <v>33</v>
      </c>
    </row>
    <row r="70" spans="1:1" x14ac:dyDescent="0.3">
      <c r="A70">
        <v>19</v>
      </c>
    </row>
    <row r="71" spans="1:1" x14ac:dyDescent="0.3">
      <c r="A71">
        <v>26</v>
      </c>
    </row>
    <row r="72" spans="1:1" x14ac:dyDescent="0.3">
      <c r="A72">
        <v>38</v>
      </c>
    </row>
    <row r="73" spans="1:1" x14ac:dyDescent="0.3">
      <c r="A73">
        <v>45</v>
      </c>
    </row>
    <row r="74" spans="1:1" x14ac:dyDescent="0.3">
      <c r="A74">
        <v>56</v>
      </c>
    </row>
    <row r="75" spans="1:1" x14ac:dyDescent="0.3">
      <c r="A75">
        <v>22</v>
      </c>
    </row>
    <row r="76" spans="1:1" x14ac:dyDescent="0.3">
      <c r="A76">
        <v>28</v>
      </c>
    </row>
    <row r="77" spans="1:1" x14ac:dyDescent="0.3">
      <c r="A77">
        <v>56</v>
      </c>
    </row>
    <row r="78" spans="1:1" x14ac:dyDescent="0.3">
      <c r="A78">
        <v>16</v>
      </c>
    </row>
    <row r="79" spans="1:1" x14ac:dyDescent="0.3">
      <c r="A79">
        <v>41</v>
      </c>
    </row>
    <row r="80" spans="1:1" x14ac:dyDescent="0.3">
      <c r="A80">
        <v>33</v>
      </c>
    </row>
    <row r="81" spans="1:1" x14ac:dyDescent="0.3">
      <c r="A81">
        <v>49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B44DE-E7F1-4C6E-89E3-A3CC6EFF4527}">
  <dimension ref="C2:AL41"/>
  <sheetViews>
    <sheetView tabSelected="1" zoomScale="54" workbookViewId="0">
      <selection activeCell="Y44" sqref="Y44"/>
    </sheetView>
  </sheetViews>
  <sheetFormatPr defaultRowHeight="14.4" x14ac:dyDescent="0.3"/>
  <sheetData>
    <row r="2" spans="3:38" x14ac:dyDescent="0.3">
      <c r="C2" s="18"/>
      <c r="D2" s="18"/>
      <c r="E2" s="17" t="s">
        <v>110</v>
      </c>
      <c r="F2" s="17"/>
      <c r="G2" s="17"/>
      <c r="H2" s="17"/>
      <c r="I2" s="17"/>
      <c r="J2" s="17"/>
      <c r="K2" s="17"/>
      <c r="L2" s="17"/>
      <c r="M2" s="17"/>
      <c r="N2" s="17"/>
      <c r="O2" s="17"/>
      <c r="P2" s="17"/>
      <c r="Q2" s="17"/>
      <c r="R2" s="17"/>
      <c r="S2" s="17"/>
      <c r="T2" s="17"/>
      <c r="U2" s="17"/>
    </row>
    <row r="3" spans="3:38" x14ac:dyDescent="0.3">
      <c r="C3" s="18"/>
      <c r="D3" s="18"/>
      <c r="E3" s="17"/>
      <c r="F3" s="17"/>
      <c r="G3" s="17"/>
      <c r="H3" s="17"/>
      <c r="I3" s="17"/>
      <c r="J3" s="17"/>
      <c r="K3" s="17"/>
      <c r="L3" s="17"/>
      <c r="M3" s="17"/>
      <c r="N3" s="17"/>
      <c r="O3" s="17"/>
      <c r="P3" s="17"/>
      <c r="Q3" s="17"/>
      <c r="R3" s="17"/>
      <c r="S3" s="17"/>
      <c r="T3" s="17"/>
      <c r="U3" s="17"/>
    </row>
    <row r="4" spans="3:38" x14ac:dyDescent="0.3">
      <c r="C4" s="18"/>
      <c r="D4" s="18"/>
      <c r="E4" s="17"/>
      <c r="F4" s="17"/>
      <c r="G4" s="17"/>
      <c r="H4" s="17"/>
      <c r="I4" s="17"/>
      <c r="J4" s="17"/>
      <c r="K4" s="17"/>
      <c r="L4" s="17"/>
      <c r="M4" s="17"/>
      <c r="N4" s="17"/>
      <c r="O4" s="17"/>
      <c r="P4" s="17"/>
      <c r="Q4" s="17"/>
      <c r="R4" s="17"/>
      <c r="S4" s="17"/>
      <c r="T4" s="17"/>
      <c r="U4" s="17"/>
    </row>
    <row r="5" spans="3:38" x14ac:dyDescent="0.3">
      <c r="C5" s="20" t="s">
        <v>113</v>
      </c>
      <c r="D5" s="20"/>
      <c r="E5" s="20"/>
      <c r="G5" s="19" t="s">
        <v>112</v>
      </c>
      <c r="H5" s="19"/>
      <c r="I5" s="19"/>
      <c r="K5" s="21" t="s">
        <v>114</v>
      </c>
      <c r="L5" s="21"/>
      <c r="M5" s="21"/>
      <c r="O5" s="22" t="s">
        <v>115</v>
      </c>
      <c r="P5" s="22"/>
      <c r="Q5" s="22"/>
      <c r="S5" s="23" t="s">
        <v>116</v>
      </c>
      <c r="T5" s="23"/>
      <c r="U5" s="23"/>
    </row>
    <row r="6" spans="3:38" x14ac:dyDescent="0.3">
      <c r="C6" s="20"/>
      <c r="D6" s="20"/>
      <c r="E6" s="20"/>
      <c r="G6" s="19"/>
      <c r="H6" s="19"/>
      <c r="I6" s="19"/>
      <c r="K6" s="21"/>
      <c r="L6" s="21"/>
      <c r="M6" s="21"/>
      <c r="O6" s="22"/>
      <c r="P6" s="22"/>
      <c r="Q6" s="22"/>
      <c r="S6" s="23"/>
      <c r="T6" s="23"/>
      <c r="U6" s="23"/>
    </row>
    <row r="8" spans="3:38" x14ac:dyDescent="0.3">
      <c r="E8" s="14"/>
      <c r="F8" s="14"/>
      <c r="G8" s="14"/>
      <c r="H8" s="14"/>
      <c r="I8" s="14"/>
      <c r="J8" s="14"/>
      <c r="K8" s="14"/>
      <c r="L8" s="14"/>
      <c r="M8" s="14"/>
      <c r="N8" s="14"/>
      <c r="O8" s="14"/>
      <c r="P8" s="14"/>
      <c r="Q8" s="14"/>
      <c r="R8" s="14"/>
      <c r="S8" s="14"/>
      <c r="T8" s="14"/>
      <c r="U8" s="14"/>
      <c r="W8" s="15" t="s">
        <v>111</v>
      </c>
      <c r="X8" s="16"/>
      <c r="Y8" s="16"/>
      <c r="Z8" s="16"/>
      <c r="AA8" s="16"/>
      <c r="AB8" s="16"/>
      <c r="AC8" s="16"/>
      <c r="AD8" s="16"/>
      <c r="AE8" s="16"/>
      <c r="AF8" s="16"/>
      <c r="AG8" s="16"/>
      <c r="AH8" s="16"/>
      <c r="AI8" s="16"/>
      <c r="AJ8" s="16"/>
      <c r="AK8" s="16"/>
      <c r="AL8" s="16"/>
    </row>
    <row r="9" spans="3:38" x14ac:dyDescent="0.3">
      <c r="E9" s="14"/>
      <c r="F9" s="14"/>
      <c r="G9" s="14"/>
      <c r="H9" s="14"/>
      <c r="I9" s="14"/>
      <c r="J9" s="14"/>
      <c r="K9" s="14"/>
      <c r="L9" s="14"/>
      <c r="M9" s="14"/>
      <c r="N9" s="14"/>
      <c r="O9" s="14"/>
      <c r="P9" s="14"/>
      <c r="Q9" s="14"/>
      <c r="R9" s="14"/>
      <c r="S9" s="14"/>
      <c r="T9" s="14"/>
      <c r="U9" s="14"/>
      <c r="W9" s="16"/>
      <c r="X9" s="16"/>
      <c r="Y9" s="16"/>
      <c r="Z9" s="16"/>
      <c r="AA9" s="16"/>
      <c r="AB9" s="16"/>
      <c r="AC9" s="16"/>
      <c r="AD9" s="16"/>
      <c r="AE9" s="16"/>
      <c r="AF9" s="16"/>
      <c r="AG9" s="16"/>
      <c r="AH9" s="16"/>
      <c r="AI9" s="16"/>
      <c r="AJ9" s="16"/>
      <c r="AK9" s="16"/>
      <c r="AL9" s="16"/>
    </row>
    <row r="10" spans="3:38" x14ac:dyDescent="0.3">
      <c r="E10" s="14"/>
      <c r="F10" s="14"/>
      <c r="G10" s="14"/>
      <c r="H10" s="14"/>
      <c r="I10" s="14"/>
      <c r="J10" s="14"/>
      <c r="K10" s="14"/>
      <c r="L10" s="14"/>
      <c r="M10" s="14"/>
      <c r="N10" s="14"/>
      <c r="O10" s="14"/>
      <c r="P10" s="14"/>
      <c r="Q10" s="14"/>
      <c r="R10" s="14"/>
      <c r="S10" s="14"/>
      <c r="T10" s="14"/>
      <c r="U10" s="14"/>
      <c r="W10" s="16"/>
      <c r="X10" s="16"/>
      <c r="Y10" s="16"/>
      <c r="Z10" s="16"/>
      <c r="AA10" s="16"/>
      <c r="AB10" s="16"/>
      <c r="AC10" s="16"/>
      <c r="AD10" s="16"/>
      <c r="AE10" s="16"/>
      <c r="AF10" s="16"/>
      <c r="AG10" s="16"/>
      <c r="AH10" s="16"/>
      <c r="AI10" s="16"/>
      <c r="AJ10" s="16"/>
      <c r="AK10" s="16"/>
      <c r="AL10" s="16"/>
    </row>
    <row r="11" spans="3:38" x14ac:dyDescent="0.3">
      <c r="E11" s="14"/>
      <c r="F11" s="14"/>
      <c r="G11" s="14"/>
      <c r="H11" s="14"/>
      <c r="I11" s="14"/>
      <c r="J11" s="14"/>
      <c r="K11" s="14"/>
      <c r="L11" s="14"/>
      <c r="M11" s="14"/>
      <c r="N11" s="14"/>
      <c r="O11" s="14"/>
      <c r="P11" s="14"/>
      <c r="Q11" s="14"/>
      <c r="R11" s="14"/>
      <c r="S11" s="14"/>
      <c r="T11" s="14"/>
      <c r="U11" s="14"/>
      <c r="W11" s="16"/>
      <c r="X11" s="16"/>
      <c r="Y11" s="16"/>
      <c r="Z11" s="16"/>
      <c r="AA11" s="16"/>
      <c r="AB11" s="16"/>
      <c r="AC11" s="16"/>
      <c r="AD11" s="16"/>
      <c r="AE11" s="16"/>
      <c r="AF11" s="16"/>
      <c r="AG11" s="16"/>
      <c r="AH11" s="16"/>
      <c r="AI11" s="16"/>
      <c r="AJ11" s="16"/>
      <c r="AK11" s="16"/>
      <c r="AL11" s="16"/>
    </row>
    <row r="12" spans="3:38" x14ac:dyDescent="0.3">
      <c r="E12" s="14"/>
      <c r="F12" s="14"/>
      <c r="G12" s="14"/>
      <c r="H12" s="14"/>
      <c r="I12" s="14"/>
      <c r="J12" s="14"/>
      <c r="K12" s="14"/>
      <c r="L12" s="14"/>
      <c r="M12" s="14"/>
      <c r="N12" s="14"/>
      <c r="O12" s="14"/>
      <c r="P12" s="14"/>
      <c r="Q12" s="14"/>
      <c r="R12" s="14"/>
      <c r="S12" s="14"/>
      <c r="T12" s="14"/>
      <c r="U12" s="14"/>
      <c r="W12" s="16"/>
      <c r="X12" s="16"/>
      <c r="Y12" s="16"/>
      <c r="Z12" s="16"/>
      <c r="AA12" s="16"/>
      <c r="AB12" s="16"/>
      <c r="AC12" s="16"/>
      <c r="AD12" s="16"/>
      <c r="AE12" s="16"/>
      <c r="AF12" s="16"/>
      <c r="AG12" s="16"/>
      <c r="AH12" s="16"/>
      <c r="AI12" s="16"/>
      <c r="AJ12" s="16"/>
      <c r="AK12" s="16"/>
      <c r="AL12" s="16"/>
    </row>
    <row r="13" spans="3:38" x14ac:dyDescent="0.3">
      <c r="E13" s="14"/>
      <c r="F13" s="14"/>
      <c r="G13" s="14"/>
      <c r="H13" s="14"/>
      <c r="I13" s="14"/>
      <c r="J13" s="14"/>
      <c r="K13" s="14"/>
      <c r="L13" s="14"/>
      <c r="M13" s="14"/>
      <c r="N13" s="14"/>
      <c r="O13" s="14"/>
      <c r="P13" s="14"/>
      <c r="Q13" s="14"/>
      <c r="R13" s="14"/>
      <c r="S13" s="14"/>
      <c r="T13" s="14"/>
      <c r="U13" s="14"/>
      <c r="W13" s="16"/>
      <c r="X13" s="16"/>
      <c r="Y13" s="16"/>
      <c r="Z13" s="16"/>
      <c r="AA13" s="16"/>
      <c r="AB13" s="16"/>
      <c r="AC13" s="16"/>
      <c r="AD13" s="16"/>
      <c r="AE13" s="16"/>
      <c r="AF13" s="16"/>
      <c r="AG13" s="16"/>
      <c r="AH13" s="16"/>
      <c r="AI13" s="16"/>
      <c r="AJ13" s="16"/>
      <c r="AK13" s="16"/>
      <c r="AL13" s="16"/>
    </row>
    <row r="14" spans="3:38" x14ac:dyDescent="0.3">
      <c r="E14" s="14"/>
      <c r="F14" s="14"/>
      <c r="G14" s="14"/>
      <c r="H14" s="14"/>
      <c r="I14" s="14"/>
      <c r="J14" s="14"/>
      <c r="K14" s="14"/>
      <c r="L14" s="14"/>
      <c r="M14" s="14"/>
      <c r="N14" s="14"/>
      <c r="O14" s="14"/>
      <c r="P14" s="14"/>
      <c r="Q14" s="14"/>
      <c r="R14" s="14"/>
      <c r="S14" s="14"/>
      <c r="T14" s="14"/>
      <c r="U14" s="14"/>
      <c r="W14" s="16"/>
      <c r="X14" s="16"/>
      <c r="Y14" s="16"/>
      <c r="Z14" s="16"/>
      <c r="AA14" s="16"/>
      <c r="AB14" s="16"/>
      <c r="AC14" s="16"/>
      <c r="AD14" s="16"/>
      <c r="AE14" s="16"/>
      <c r="AF14" s="16"/>
      <c r="AG14" s="16"/>
      <c r="AH14" s="16"/>
      <c r="AI14" s="16"/>
      <c r="AJ14" s="16"/>
      <c r="AK14" s="16"/>
      <c r="AL14" s="16"/>
    </row>
    <row r="15" spans="3:38" ht="22.2" customHeight="1" x14ac:dyDescent="0.3">
      <c r="E15" s="14"/>
      <c r="F15" s="14"/>
      <c r="G15" s="14"/>
      <c r="H15" s="14"/>
      <c r="I15" s="14"/>
      <c r="J15" s="14"/>
      <c r="K15" s="14"/>
      <c r="L15" s="14"/>
      <c r="M15" s="14"/>
      <c r="N15" s="14"/>
      <c r="O15" s="14"/>
      <c r="P15" s="14"/>
      <c r="Q15" s="14"/>
      <c r="R15" s="14"/>
      <c r="S15" s="14"/>
      <c r="T15" s="14"/>
      <c r="U15" s="14"/>
      <c r="W15" s="16"/>
      <c r="X15" s="16"/>
      <c r="Y15" s="16"/>
      <c r="Z15" s="16"/>
      <c r="AA15" s="16"/>
      <c r="AB15" s="16"/>
      <c r="AC15" s="16"/>
      <c r="AD15" s="16"/>
      <c r="AE15" s="16"/>
      <c r="AF15" s="16"/>
      <c r="AG15" s="16"/>
      <c r="AH15" s="16"/>
      <c r="AI15" s="16"/>
      <c r="AJ15" s="16"/>
      <c r="AK15" s="16"/>
      <c r="AL15" s="16"/>
    </row>
    <row r="16" spans="3:38" x14ac:dyDescent="0.3">
      <c r="E16" s="14"/>
      <c r="F16" s="14"/>
      <c r="G16" s="14"/>
      <c r="H16" s="14"/>
      <c r="I16" s="14"/>
      <c r="J16" s="14"/>
      <c r="K16" s="14"/>
      <c r="L16" s="14"/>
      <c r="M16" s="14"/>
      <c r="N16" s="14"/>
      <c r="O16" s="14"/>
      <c r="P16" s="14"/>
      <c r="Q16" s="14"/>
      <c r="R16" s="14"/>
      <c r="S16" s="14"/>
      <c r="T16" s="14"/>
      <c r="U16" s="14"/>
      <c r="W16" s="16"/>
      <c r="X16" s="16"/>
      <c r="Y16" s="16"/>
      <c r="Z16" s="16"/>
      <c r="AA16" s="16"/>
      <c r="AB16" s="16"/>
      <c r="AC16" s="16"/>
      <c r="AD16" s="16"/>
      <c r="AE16" s="16"/>
      <c r="AF16" s="16"/>
      <c r="AG16" s="16"/>
      <c r="AH16" s="16"/>
      <c r="AI16" s="16"/>
      <c r="AJ16" s="16"/>
      <c r="AK16" s="16"/>
      <c r="AL16" s="16"/>
    </row>
    <row r="17" spans="5:38" x14ac:dyDescent="0.3">
      <c r="E17" s="14"/>
      <c r="F17" s="14"/>
      <c r="G17" s="14"/>
      <c r="H17" s="14"/>
      <c r="I17" s="14"/>
      <c r="J17" s="14"/>
      <c r="K17" s="14"/>
      <c r="L17" s="14"/>
      <c r="M17" s="14"/>
      <c r="N17" s="14"/>
      <c r="O17" s="14"/>
      <c r="P17" s="14"/>
      <c r="Q17" s="14"/>
      <c r="R17" s="14"/>
      <c r="S17" s="14"/>
      <c r="T17" s="14"/>
      <c r="U17" s="14"/>
      <c r="W17" s="16"/>
      <c r="X17" s="16"/>
      <c r="Y17" s="16"/>
      <c r="Z17" s="16"/>
      <c r="AA17" s="16"/>
      <c r="AB17" s="16"/>
      <c r="AC17" s="16"/>
      <c r="AD17" s="16"/>
      <c r="AE17" s="16"/>
      <c r="AF17" s="16"/>
      <c r="AG17" s="16"/>
      <c r="AH17" s="16"/>
      <c r="AI17" s="16"/>
      <c r="AJ17" s="16"/>
      <c r="AK17" s="16"/>
      <c r="AL17" s="16"/>
    </row>
    <row r="18" spans="5:38" x14ac:dyDescent="0.3">
      <c r="E18" s="14"/>
      <c r="F18" s="14"/>
      <c r="G18" s="14"/>
      <c r="H18" s="14"/>
      <c r="I18" s="14"/>
      <c r="J18" s="14"/>
      <c r="K18" s="14"/>
      <c r="L18" s="14"/>
      <c r="M18" s="14"/>
      <c r="N18" s="14"/>
      <c r="O18" s="14"/>
      <c r="P18" s="14"/>
      <c r="Q18" s="14"/>
      <c r="R18" s="14"/>
      <c r="S18" s="14"/>
      <c r="T18" s="14"/>
      <c r="U18" s="14"/>
      <c r="W18" s="16"/>
      <c r="X18" s="16"/>
      <c r="Y18" s="16"/>
      <c r="Z18" s="16"/>
      <c r="AA18" s="16"/>
      <c r="AB18" s="16"/>
      <c r="AC18" s="16"/>
      <c r="AD18" s="16"/>
      <c r="AE18" s="16"/>
      <c r="AF18" s="16"/>
      <c r="AG18" s="16"/>
      <c r="AH18" s="16"/>
      <c r="AI18" s="16"/>
      <c r="AJ18" s="16"/>
      <c r="AK18" s="16"/>
      <c r="AL18" s="16"/>
    </row>
    <row r="19" spans="5:38" x14ac:dyDescent="0.3">
      <c r="E19" s="14"/>
      <c r="F19" s="14"/>
      <c r="G19" s="14"/>
      <c r="H19" s="14"/>
      <c r="I19" s="14"/>
      <c r="J19" s="14"/>
      <c r="K19" s="14"/>
      <c r="L19" s="14"/>
      <c r="M19" s="14"/>
      <c r="N19" s="14"/>
      <c r="O19" s="14"/>
      <c r="P19" s="14"/>
      <c r="Q19" s="14"/>
      <c r="R19" s="14"/>
      <c r="S19" s="14"/>
      <c r="T19" s="14"/>
      <c r="U19" s="14"/>
      <c r="W19" s="16"/>
      <c r="X19" s="16"/>
      <c r="Y19" s="16"/>
      <c r="Z19" s="16"/>
      <c r="AA19" s="16"/>
      <c r="AB19" s="16"/>
      <c r="AC19" s="16"/>
      <c r="AD19" s="16"/>
      <c r="AE19" s="16"/>
      <c r="AF19" s="16"/>
      <c r="AG19" s="16"/>
      <c r="AH19" s="16"/>
      <c r="AI19" s="16"/>
      <c r="AJ19" s="16"/>
      <c r="AK19" s="16"/>
      <c r="AL19" s="16"/>
    </row>
    <row r="20" spans="5:38" x14ac:dyDescent="0.3">
      <c r="E20" s="14"/>
      <c r="F20" s="14"/>
      <c r="G20" s="14"/>
      <c r="H20" s="14"/>
      <c r="I20" s="14"/>
      <c r="J20" s="14"/>
      <c r="K20" s="14"/>
      <c r="L20" s="14"/>
      <c r="M20" s="14"/>
      <c r="N20" s="14"/>
      <c r="O20" s="14"/>
      <c r="P20" s="14"/>
      <c r="Q20" s="14"/>
      <c r="R20" s="14"/>
      <c r="S20" s="14"/>
      <c r="T20" s="14"/>
      <c r="U20" s="14"/>
      <c r="W20" s="16"/>
      <c r="X20" s="16"/>
      <c r="Y20" s="16"/>
      <c r="Z20" s="16"/>
      <c r="AA20" s="16"/>
      <c r="AB20" s="16"/>
      <c r="AC20" s="16"/>
      <c r="AD20" s="16"/>
      <c r="AE20" s="16"/>
      <c r="AF20" s="16"/>
      <c r="AG20" s="16"/>
      <c r="AH20" s="16"/>
      <c r="AI20" s="16"/>
      <c r="AJ20" s="16"/>
      <c r="AK20" s="16"/>
      <c r="AL20" s="16"/>
    </row>
    <row r="21" spans="5:38" x14ac:dyDescent="0.3">
      <c r="E21" s="14"/>
      <c r="F21" s="14"/>
      <c r="G21" s="14"/>
      <c r="H21" s="14"/>
      <c r="I21" s="14"/>
      <c r="J21" s="14"/>
      <c r="K21" s="14"/>
      <c r="L21" s="14"/>
      <c r="M21" s="14"/>
      <c r="N21" s="14"/>
      <c r="O21" s="14"/>
      <c r="P21" s="14"/>
      <c r="Q21" s="14"/>
      <c r="R21" s="14"/>
      <c r="S21" s="14"/>
      <c r="T21" s="14"/>
      <c r="U21" s="14"/>
      <c r="W21" s="16"/>
      <c r="X21" s="16"/>
      <c r="Y21" s="16"/>
      <c r="Z21" s="16"/>
      <c r="AA21" s="16"/>
      <c r="AB21" s="16"/>
      <c r="AC21" s="16"/>
      <c r="AD21" s="16"/>
      <c r="AE21" s="16"/>
      <c r="AF21" s="16"/>
      <c r="AG21" s="16"/>
      <c r="AH21" s="16"/>
      <c r="AI21" s="16"/>
      <c r="AJ21" s="16"/>
      <c r="AK21" s="16"/>
      <c r="AL21" s="16"/>
    </row>
    <row r="22" spans="5:38" x14ac:dyDescent="0.3">
      <c r="E22" s="14"/>
      <c r="F22" s="14"/>
      <c r="G22" s="14"/>
      <c r="H22" s="14"/>
      <c r="I22" s="14"/>
      <c r="J22" s="14"/>
      <c r="K22" s="14"/>
      <c r="L22" s="14"/>
      <c r="M22" s="14"/>
      <c r="N22" s="14"/>
      <c r="O22" s="14"/>
      <c r="P22" s="14"/>
      <c r="Q22" s="14"/>
      <c r="R22" s="14"/>
      <c r="S22" s="14"/>
      <c r="T22" s="14"/>
      <c r="U22" s="14"/>
      <c r="W22" s="16"/>
      <c r="X22" s="16"/>
      <c r="Y22" s="16"/>
      <c r="Z22" s="16"/>
      <c r="AA22" s="16"/>
      <c r="AB22" s="16"/>
      <c r="AC22" s="16"/>
      <c r="AD22" s="16"/>
      <c r="AE22" s="16"/>
      <c r="AF22" s="16"/>
      <c r="AG22" s="16"/>
      <c r="AH22" s="16"/>
      <c r="AI22" s="16"/>
      <c r="AJ22" s="16"/>
      <c r="AK22" s="16"/>
      <c r="AL22" s="16"/>
    </row>
    <row r="23" spans="5:38" x14ac:dyDescent="0.3">
      <c r="E23" s="14"/>
      <c r="F23" s="14"/>
      <c r="G23" s="14"/>
      <c r="H23" s="14"/>
      <c r="I23" s="14"/>
      <c r="J23" s="14"/>
      <c r="K23" s="14"/>
      <c r="L23" s="14"/>
      <c r="M23" s="14"/>
      <c r="N23" s="14"/>
      <c r="O23" s="14"/>
      <c r="P23" s="14"/>
      <c r="Q23" s="14"/>
      <c r="R23" s="14"/>
      <c r="S23" s="14"/>
      <c r="T23" s="14"/>
      <c r="U23" s="14"/>
      <c r="W23" s="16"/>
      <c r="X23" s="16"/>
      <c r="Y23" s="16"/>
      <c r="Z23" s="16"/>
      <c r="AA23" s="16"/>
      <c r="AB23" s="16"/>
      <c r="AC23" s="16"/>
      <c r="AD23" s="16"/>
      <c r="AE23" s="16"/>
      <c r="AF23" s="16"/>
      <c r="AG23" s="16"/>
      <c r="AH23" s="16"/>
      <c r="AI23" s="16"/>
      <c r="AJ23" s="16"/>
      <c r="AK23" s="16"/>
      <c r="AL23" s="16"/>
    </row>
    <row r="24" spans="5:38" x14ac:dyDescent="0.3">
      <c r="E24" s="14"/>
      <c r="F24" s="14"/>
      <c r="G24" s="14"/>
      <c r="H24" s="14"/>
      <c r="I24" s="14"/>
      <c r="J24" s="14"/>
      <c r="K24" s="14"/>
      <c r="L24" s="14"/>
      <c r="M24" s="14"/>
      <c r="N24" s="14"/>
      <c r="O24" s="14"/>
      <c r="P24" s="14"/>
      <c r="Q24" s="14"/>
      <c r="R24" s="14"/>
      <c r="S24" s="14"/>
      <c r="T24" s="14"/>
      <c r="U24" s="14"/>
      <c r="W24" s="16"/>
      <c r="X24" s="16"/>
      <c r="Y24" s="16"/>
      <c r="Z24" s="16"/>
      <c r="AA24" s="16"/>
      <c r="AB24" s="16"/>
      <c r="AC24" s="16"/>
      <c r="AD24" s="16"/>
      <c r="AE24" s="16"/>
      <c r="AF24" s="16"/>
      <c r="AG24" s="16"/>
      <c r="AH24" s="16"/>
      <c r="AI24" s="16"/>
      <c r="AJ24" s="16"/>
      <c r="AK24" s="16"/>
      <c r="AL24" s="16"/>
    </row>
    <row r="25" spans="5:38" x14ac:dyDescent="0.3">
      <c r="E25" s="14"/>
      <c r="F25" s="14"/>
      <c r="G25" s="14"/>
      <c r="H25" s="14"/>
      <c r="I25" s="14"/>
      <c r="J25" s="14"/>
      <c r="K25" s="14"/>
      <c r="L25" s="14"/>
      <c r="M25" s="14"/>
      <c r="N25" s="14"/>
      <c r="O25" s="14"/>
      <c r="P25" s="14"/>
      <c r="Q25" s="14"/>
      <c r="R25" s="14"/>
      <c r="S25" s="14"/>
      <c r="T25" s="14"/>
      <c r="U25" s="14"/>
      <c r="W25" s="16"/>
      <c r="X25" s="16"/>
      <c r="Y25" s="16"/>
      <c r="Z25" s="16"/>
      <c r="AA25" s="16"/>
      <c r="AB25" s="16"/>
      <c r="AC25" s="16"/>
      <c r="AD25" s="16"/>
      <c r="AE25" s="16"/>
      <c r="AF25" s="16"/>
      <c r="AG25" s="16"/>
      <c r="AH25" s="16"/>
      <c r="AI25" s="16"/>
      <c r="AJ25" s="16"/>
      <c r="AK25" s="16"/>
      <c r="AL25" s="16"/>
    </row>
    <row r="26" spans="5:38" x14ac:dyDescent="0.3">
      <c r="E26" s="14"/>
      <c r="F26" s="14"/>
      <c r="G26" s="14"/>
      <c r="H26" s="14"/>
      <c r="I26" s="14"/>
      <c r="J26" s="14"/>
      <c r="K26" s="14"/>
      <c r="L26" s="14"/>
      <c r="M26" s="14"/>
      <c r="N26" s="14"/>
      <c r="O26" s="14"/>
      <c r="P26" s="14"/>
      <c r="Q26" s="14"/>
      <c r="R26" s="14"/>
      <c r="S26" s="14"/>
      <c r="T26" s="14"/>
      <c r="U26" s="14"/>
      <c r="W26" s="16"/>
      <c r="X26" s="16"/>
      <c r="Y26" s="16"/>
      <c r="Z26" s="16"/>
      <c r="AA26" s="16"/>
      <c r="AB26" s="16"/>
      <c r="AC26" s="16"/>
      <c r="AD26" s="16"/>
      <c r="AE26" s="16"/>
      <c r="AF26" s="16"/>
      <c r="AG26" s="16"/>
      <c r="AH26" s="16"/>
      <c r="AI26" s="16"/>
      <c r="AJ26" s="16"/>
      <c r="AK26" s="16"/>
      <c r="AL26" s="16"/>
    </row>
    <row r="27" spans="5:38" x14ac:dyDescent="0.3">
      <c r="E27" s="14"/>
      <c r="F27" s="14"/>
      <c r="G27" s="14"/>
      <c r="H27" s="14"/>
      <c r="I27" s="14"/>
      <c r="J27" s="14"/>
      <c r="K27" s="14"/>
      <c r="L27" s="14"/>
      <c r="M27" s="14"/>
      <c r="N27" s="14"/>
      <c r="O27" s="14"/>
      <c r="P27" s="14"/>
      <c r="Q27" s="14"/>
      <c r="R27" s="14"/>
      <c r="S27" s="14"/>
      <c r="T27" s="14"/>
      <c r="U27" s="14"/>
      <c r="W27" s="16"/>
      <c r="X27" s="16"/>
      <c r="Y27" s="16"/>
      <c r="Z27" s="16"/>
      <c r="AA27" s="16"/>
      <c r="AB27" s="16"/>
      <c r="AC27" s="16"/>
      <c r="AD27" s="16"/>
      <c r="AE27" s="16"/>
      <c r="AF27" s="16"/>
      <c r="AG27" s="16"/>
      <c r="AH27" s="16"/>
      <c r="AI27" s="16"/>
      <c r="AJ27" s="16"/>
      <c r="AK27" s="16"/>
      <c r="AL27" s="16"/>
    </row>
    <row r="28" spans="5:38" x14ac:dyDescent="0.3">
      <c r="E28" s="14"/>
      <c r="F28" s="14"/>
      <c r="G28" s="14"/>
      <c r="H28" s="14"/>
      <c r="I28" s="14"/>
      <c r="J28" s="14"/>
      <c r="K28" s="14"/>
      <c r="L28" s="14"/>
      <c r="M28" s="14"/>
      <c r="N28" s="14"/>
      <c r="O28" s="14"/>
      <c r="P28" s="14"/>
      <c r="Q28" s="14"/>
      <c r="R28" s="14"/>
      <c r="S28" s="14"/>
      <c r="T28" s="14"/>
      <c r="U28" s="14"/>
      <c r="W28" s="16"/>
      <c r="X28" s="16"/>
      <c r="Y28" s="16"/>
      <c r="Z28" s="16"/>
      <c r="AA28" s="16"/>
      <c r="AB28" s="16"/>
      <c r="AC28" s="16"/>
      <c r="AD28" s="16"/>
      <c r="AE28" s="16"/>
      <c r="AF28" s="16"/>
      <c r="AG28" s="16"/>
      <c r="AH28" s="16"/>
      <c r="AI28" s="16"/>
      <c r="AJ28" s="16"/>
      <c r="AK28" s="16"/>
      <c r="AL28" s="16"/>
    </row>
    <row r="29" spans="5:38" x14ac:dyDescent="0.3">
      <c r="E29" s="14"/>
      <c r="F29" s="14"/>
      <c r="G29" s="14"/>
      <c r="H29" s="14"/>
      <c r="I29" s="14"/>
      <c r="J29" s="14"/>
      <c r="K29" s="14"/>
      <c r="L29" s="14"/>
      <c r="M29" s="14"/>
      <c r="N29" s="14"/>
      <c r="O29" s="14"/>
      <c r="P29" s="14"/>
      <c r="Q29" s="14"/>
      <c r="R29" s="14"/>
      <c r="S29" s="14"/>
      <c r="T29" s="14"/>
      <c r="U29" s="14"/>
      <c r="W29" s="16"/>
      <c r="X29" s="16"/>
      <c r="Y29" s="16"/>
      <c r="Z29" s="16"/>
      <c r="AA29" s="16"/>
      <c r="AB29" s="16"/>
      <c r="AC29" s="16"/>
      <c r="AD29" s="16"/>
      <c r="AE29" s="16"/>
      <c r="AF29" s="16"/>
      <c r="AG29" s="16"/>
      <c r="AH29" s="16"/>
      <c r="AI29" s="16"/>
      <c r="AJ29" s="16"/>
      <c r="AK29" s="16"/>
      <c r="AL29" s="16"/>
    </row>
    <row r="30" spans="5:38" x14ac:dyDescent="0.3">
      <c r="E30" s="14"/>
      <c r="F30" s="14"/>
      <c r="G30" s="14"/>
      <c r="H30" s="14"/>
      <c r="I30" s="14"/>
      <c r="J30" s="14"/>
      <c r="K30" s="14"/>
      <c r="L30" s="14"/>
      <c r="M30" s="14"/>
      <c r="N30" s="14"/>
      <c r="O30" s="14"/>
      <c r="P30" s="14"/>
      <c r="Q30" s="14"/>
      <c r="R30" s="14"/>
      <c r="S30" s="14"/>
      <c r="T30" s="14"/>
      <c r="U30" s="14"/>
      <c r="W30" s="16"/>
      <c r="X30" s="16"/>
      <c r="Y30" s="16"/>
      <c r="Z30" s="16"/>
      <c r="AA30" s="16"/>
      <c r="AB30" s="16"/>
      <c r="AC30" s="16"/>
      <c r="AD30" s="16"/>
      <c r="AE30" s="16"/>
      <c r="AF30" s="16"/>
      <c r="AG30" s="16"/>
      <c r="AH30" s="16"/>
      <c r="AI30" s="16"/>
      <c r="AJ30" s="16"/>
      <c r="AK30" s="16"/>
      <c r="AL30" s="16"/>
    </row>
    <row r="31" spans="5:38" x14ac:dyDescent="0.3">
      <c r="E31" s="14"/>
      <c r="F31" s="14"/>
      <c r="G31" s="14"/>
      <c r="H31" s="14"/>
      <c r="I31" s="14"/>
      <c r="J31" s="14"/>
      <c r="K31" s="14"/>
      <c r="L31" s="14"/>
      <c r="M31" s="14"/>
      <c r="N31" s="14"/>
      <c r="O31" s="14"/>
      <c r="P31" s="14"/>
      <c r="Q31" s="14"/>
      <c r="R31" s="14"/>
      <c r="S31" s="14"/>
      <c r="T31" s="14"/>
      <c r="U31" s="14"/>
      <c r="W31" s="16"/>
      <c r="X31" s="16"/>
      <c r="Y31" s="16"/>
      <c r="Z31" s="16"/>
      <c r="AA31" s="16"/>
      <c r="AB31" s="16"/>
      <c r="AC31" s="16"/>
      <c r="AD31" s="16"/>
      <c r="AE31" s="16"/>
      <c r="AF31" s="16"/>
      <c r="AG31" s="16"/>
      <c r="AH31" s="16"/>
      <c r="AI31" s="16"/>
      <c r="AJ31" s="16"/>
      <c r="AK31" s="16"/>
      <c r="AL31" s="16"/>
    </row>
    <row r="32" spans="5:38" x14ac:dyDescent="0.3">
      <c r="E32" s="14"/>
      <c r="F32" s="14"/>
      <c r="G32" s="14"/>
      <c r="H32" s="14"/>
      <c r="I32" s="14"/>
      <c r="J32" s="14"/>
      <c r="K32" s="14"/>
      <c r="L32" s="14"/>
      <c r="M32" s="14"/>
      <c r="N32" s="14"/>
      <c r="O32" s="14"/>
      <c r="P32" s="14"/>
      <c r="Q32" s="14"/>
      <c r="R32" s="14"/>
      <c r="S32" s="14"/>
      <c r="T32" s="14"/>
      <c r="U32" s="14"/>
      <c r="W32" s="16"/>
      <c r="X32" s="16"/>
      <c r="Y32" s="16"/>
      <c r="Z32" s="16"/>
      <c r="AA32" s="16"/>
      <c r="AB32" s="16"/>
      <c r="AC32" s="16"/>
      <c r="AD32" s="16"/>
      <c r="AE32" s="16"/>
      <c r="AF32" s="16"/>
      <c r="AG32" s="16"/>
      <c r="AH32" s="16"/>
      <c r="AI32" s="16"/>
      <c r="AJ32" s="16"/>
      <c r="AK32" s="16"/>
      <c r="AL32" s="16"/>
    </row>
    <row r="33" spans="5:38" x14ac:dyDescent="0.3">
      <c r="E33" s="14"/>
      <c r="F33" s="14"/>
      <c r="G33" s="14"/>
      <c r="H33" s="14"/>
      <c r="I33" s="14"/>
      <c r="J33" s="14"/>
      <c r="K33" s="14"/>
      <c r="L33" s="14"/>
      <c r="M33" s="14"/>
      <c r="N33" s="14"/>
      <c r="O33" s="14"/>
      <c r="P33" s="14"/>
      <c r="Q33" s="14"/>
      <c r="R33" s="14"/>
      <c r="S33" s="14"/>
      <c r="T33" s="14"/>
      <c r="U33" s="14"/>
      <c r="W33" s="16"/>
      <c r="X33" s="16"/>
      <c r="Y33" s="16"/>
      <c r="Z33" s="16"/>
      <c r="AA33" s="16"/>
      <c r="AB33" s="16"/>
      <c r="AC33" s="16"/>
      <c r="AD33" s="16"/>
      <c r="AE33" s="16"/>
      <c r="AF33" s="16"/>
      <c r="AG33" s="16"/>
      <c r="AH33" s="16"/>
      <c r="AI33" s="16"/>
      <c r="AJ33" s="16"/>
      <c r="AK33" s="16"/>
      <c r="AL33" s="16"/>
    </row>
    <row r="34" spans="5:38" x14ac:dyDescent="0.3">
      <c r="E34" s="14"/>
      <c r="F34" s="14"/>
      <c r="G34" s="14"/>
      <c r="H34" s="14"/>
      <c r="I34" s="14"/>
      <c r="J34" s="14"/>
      <c r="K34" s="14"/>
      <c r="L34" s="14"/>
      <c r="M34" s="14"/>
      <c r="N34" s="14"/>
      <c r="O34" s="14"/>
      <c r="P34" s="14"/>
      <c r="Q34" s="14"/>
      <c r="R34" s="14"/>
      <c r="S34" s="14"/>
      <c r="T34" s="14"/>
      <c r="U34" s="14"/>
      <c r="W34" s="16"/>
      <c r="X34" s="16"/>
      <c r="Y34" s="16"/>
      <c r="Z34" s="16"/>
      <c r="AA34" s="16"/>
      <c r="AB34" s="16"/>
      <c r="AC34" s="16"/>
      <c r="AD34" s="16"/>
      <c r="AE34" s="16"/>
      <c r="AF34" s="16"/>
      <c r="AG34" s="16"/>
      <c r="AH34" s="16"/>
      <c r="AI34" s="16"/>
      <c r="AJ34" s="16"/>
      <c r="AK34" s="16"/>
      <c r="AL34" s="16"/>
    </row>
    <row r="35" spans="5:38" x14ac:dyDescent="0.3">
      <c r="E35" s="14"/>
      <c r="F35" s="14"/>
      <c r="G35" s="14"/>
      <c r="H35" s="14"/>
      <c r="I35" s="14"/>
      <c r="J35" s="14"/>
      <c r="K35" s="14"/>
      <c r="L35" s="14"/>
      <c r="M35" s="14"/>
      <c r="N35" s="14"/>
      <c r="O35" s="14"/>
      <c r="P35" s="14"/>
      <c r="Q35" s="14"/>
      <c r="R35" s="14"/>
      <c r="S35" s="14"/>
      <c r="T35" s="14"/>
      <c r="U35" s="14"/>
      <c r="W35" s="16"/>
      <c r="X35" s="16"/>
      <c r="Y35" s="16"/>
      <c r="Z35" s="16"/>
      <c r="AA35" s="16"/>
      <c r="AB35" s="16"/>
      <c r="AC35" s="16"/>
      <c r="AD35" s="16"/>
      <c r="AE35" s="16"/>
      <c r="AF35" s="16"/>
      <c r="AG35" s="16"/>
      <c r="AH35" s="16"/>
      <c r="AI35" s="16"/>
      <c r="AJ35" s="16"/>
      <c r="AK35" s="16"/>
      <c r="AL35" s="16"/>
    </row>
    <row r="36" spans="5:38" x14ac:dyDescent="0.3">
      <c r="E36" s="14"/>
      <c r="F36" s="14"/>
      <c r="G36" s="14"/>
      <c r="H36" s="14"/>
      <c r="I36" s="14"/>
      <c r="J36" s="14"/>
      <c r="K36" s="14"/>
      <c r="L36" s="14"/>
      <c r="M36" s="14"/>
      <c r="N36" s="14"/>
      <c r="O36" s="14"/>
      <c r="P36" s="14"/>
      <c r="Q36" s="14"/>
      <c r="R36" s="14"/>
      <c r="S36" s="14"/>
      <c r="T36" s="14"/>
      <c r="U36" s="14"/>
      <c r="W36" s="16"/>
      <c r="X36" s="16"/>
      <c r="Y36" s="16"/>
      <c r="Z36" s="16"/>
      <c r="AA36" s="16"/>
      <c r="AB36" s="16"/>
      <c r="AC36" s="16"/>
      <c r="AD36" s="16"/>
      <c r="AE36" s="16"/>
      <c r="AF36" s="16"/>
      <c r="AG36" s="16"/>
      <c r="AH36" s="16"/>
      <c r="AI36" s="16"/>
      <c r="AJ36" s="16"/>
      <c r="AK36" s="16"/>
      <c r="AL36" s="16"/>
    </row>
    <row r="37" spans="5:38" x14ac:dyDescent="0.3">
      <c r="E37" s="14"/>
      <c r="F37" s="14"/>
      <c r="G37" s="14"/>
      <c r="H37" s="14"/>
      <c r="I37" s="14"/>
      <c r="J37" s="14"/>
      <c r="K37" s="14"/>
      <c r="L37" s="14"/>
      <c r="M37" s="14"/>
      <c r="N37" s="14"/>
      <c r="O37" s="14"/>
      <c r="P37" s="14"/>
      <c r="Q37" s="14"/>
      <c r="R37" s="14"/>
      <c r="S37" s="14"/>
      <c r="T37" s="14"/>
      <c r="U37" s="14"/>
      <c r="W37" s="16"/>
      <c r="X37" s="16"/>
      <c r="Y37" s="16"/>
      <c r="Z37" s="16"/>
      <c r="AA37" s="16"/>
      <c r="AB37" s="16"/>
      <c r="AC37" s="16"/>
      <c r="AD37" s="16"/>
      <c r="AE37" s="16"/>
      <c r="AF37" s="16"/>
      <c r="AG37" s="16"/>
      <c r="AH37" s="16"/>
      <c r="AI37" s="16"/>
      <c r="AJ37" s="16"/>
      <c r="AK37" s="16"/>
      <c r="AL37" s="16"/>
    </row>
    <row r="38" spans="5:38" x14ac:dyDescent="0.3">
      <c r="E38" s="14"/>
      <c r="F38" s="14"/>
      <c r="G38" s="14"/>
      <c r="H38" s="14"/>
      <c r="I38" s="14"/>
      <c r="J38" s="14"/>
      <c r="K38" s="14"/>
      <c r="L38" s="14"/>
      <c r="M38" s="14"/>
      <c r="N38" s="14"/>
      <c r="O38" s="14"/>
      <c r="P38" s="14"/>
      <c r="Q38" s="14"/>
      <c r="R38" s="14"/>
      <c r="S38" s="14"/>
      <c r="T38" s="14"/>
      <c r="U38" s="14"/>
    </row>
    <row r="39" spans="5:38" x14ac:dyDescent="0.3">
      <c r="E39" s="14"/>
      <c r="F39" s="14"/>
      <c r="G39" s="14"/>
      <c r="H39" s="14"/>
      <c r="I39" s="14"/>
      <c r="J39" s="14"/>
      <c r="K39" s="14"/>
      <c r="L39" s="14"/>
      <c r="M39" s="14"/>
      <c r="N39" s="14"/>
      <c r="O39" s="14"/>
      <c r="P39" s="14"/>
      <c r="Q39" s="14"/>
      <c r="R39" s="14"/>
      <c r="S39" s="14"/>
      <c r="T39" s="14"/>
      <c r="U39" s="14"/>
    </row>
    <row r="40" spans="5:38" x14ac:dyDescent="0.3">
      <c r="E40" s="14"/>
      <c r="F40" s="14"/>
      <c r="G40" s="14"/>
      <c r="H40" s="14"/>
      <c r="I40" s="14"/>
      <c r="J40" s="14"/>
      <c r="K40" s="14"/>
      <c r="L40" s="14"/>
      <c r="M40" s="14"/>
      <c r="N40" s="14"/>
      <c r="O40" s="14"/>
      <c r="P40" s="14"/>
      <c r="Q40" s="14"/>
      <c r="R40" s="14"/>
      <c r="S40" s="14"/>
      <c r="T40" s="14"/>
      <c r="U40" s="14"/>
    </row>
    <row r="41" spans="5:38" x14ac:dyDescent="0.3">
      <c r="E41" s="14"/>
      <c r="F41" s="14"/>
      <c r="G41" s="14"/>
      <c r="H41" s="14"/>
      <c r="I41" s="14"/>
      <c r="J41" s="14"/>
      <c r="K41" s="14"/>
      <c r="L41" s="14"/>
      <c r="M41" s="14"/>
      <c r="N41" s="14"/>
      <c r="O41" s="14"/>
      <c r="P41" s="14"/>
      <c r="Q41" s="14"/>
      <c r="R41" s="14"/>
      <c r="S41" s="14"/>
      <c r="T41" s="14"/>
      <c r="U41" s="14"/>
    </row>
  </sheetData>
  <mergeCells count="9">
    <mergeCell ref="E2:U4"/>
    <mergeCell ref="E8:U36"/>
    <mergeCell ref="E37:U41"/>
    <mergeCell ref="W8:AL37"/>
    <mergeCell ref="C5:E6"/>
    <mergeCell ref="G5:I6"/>
    <mergeCell ref="K5:M6"/>
    <mergeCell ref="O5:Q6"/>
    <mergeCell ref="S5:U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83C24-6354-4144-894E-275DD9DBBF77}">
  <dimension ref="A3:C20"/>
  <sheetViews>
    <sheetView workbookViewId="0">
      <selection activeCell="K19" sqref="K19"/>
    </sheetView>
  </sheetViews>
  <sheetFormatPr defaultRowHeight="14.4" x14ac:dyDescent="0.3"/>
  <sheetData>
    <row r="3" spans="1:3" x14ac:dyDescent="0.3">
      <c r="A3" s="2"/>
      <c r="B3" s="3"/>
      <c r="C3" s="4"/>
    </row>
    <row r="4" spans="1:3" x14ac:dyDescent="0.3">
      <c r="A4" s="5"/>
      <c r="B4" s="6"/>
      <c r="C4" s="7"/>
    </row>
    <row r="5" spans="1:3" x14ac:dyDescent="0.3">
      <c r="A5" s="5"/>
      <c r="B5" s="6"/>
      <c r="C5" s="7"/>
    </row>
    <row r="6" spans="1:3" x14ac:dyDescent="0.3">
      <c r="A6" s="5"/>
      <c r="B6" s="6"/>
      <c r="C6" s="7"/>
    </row>
    <row r="7" spans="1:3" x14ac:dyDescent="0.3">
      <c r="A7" s="5"/>
      <c r="B7" s="6"/>
      <c r="C7" s="7"/>
    </row>
    <row r="8" spans="1:3" x14ac:dyDescent="0.3">
      <c r="A8" s="5"/>
      <c r="B8" s="6"/>
      <c r="C8" s="7"/>
    </row>
    <row r="9" spans="1:3" x14ac:dyDescent="0.3">
      <c r="A9" s="5"/>
      <c r="B9" s="6"/>
      <c r="C9" s="7"/>
    </row>
    <row r="10" spans="1:3" x14ac:dyDescent="0.3">
      <c r="A10" s="5"/>
      <c r="B10" s="6"/>
      <c r="C10" s="7"/>
    </row>
    <row r="11" spans="1:3" x14ac:dyDescent="0.3">
      <c r="A11" s="5"/>
      <c r="B11" s="6"/>
      <c r="C11" s="7"/>
    </row>
    <row r="12" spans="1:3" x14ac:dyDescent="0.3">
      <c r="A12" s="5"/>
      <c r="B12" s="6"/>
      <c r="C12" s="7"/>
    </row>
    <row r="13" spans="1:3" x14ac:dyDescent="0.3">
      <c r="A13" s="5"/>
      <c r="B13" s="6"/>
      <c r="C13" s="7"/>
    </row>
    <row r="14" spans="1:3" x14ac:dyDescent="0.3">
      <c r="A14" s="5"/>
      <c r="B14" s="6"/>
      <c r="C14" s="7"/>
    </row>
    <row r="15" spans="1:3" x14ac:dyDescent="0.3">
      <c r="A15" s="5"/>
      <c r="B15" s="6"/>
      <c r="C15" s="7"/>
    </row>
    <row r="16" spans="1:3" x14ac:dyDescent="0.3">
      <c r="A16" s="5"/>
      <c r="B16" s="6"/>
      <c r="C16" s="7"/>
    </row>
    <row r="17" spans="1:3" x14ac:dyDescent="0.3">
      <c r="A17" s="5"/>
      <c r="B17" s="6"/>
      <c r="C17" s="7"/>
    </row>
    <row r="18" spans="1:3" x14ac:dyDescent="0.3">
      <c r="A18" s="5"/>
      <c r="B18" s="6"/>
      <c r="C18" s="7"/>
    </row>
    <row r="19" spans="1:3" x14ac:dyDescent="0.3">
      <c r="A19" s="5"/>
      <c r="B19" s="6"/>
      <c r="C19" s="7"/>
    </row>
    <row r="20" spans="1:3" x14ac:dyDescent="0.3">
      <c r="A20" s="8"/>
      <c r="B20" s="9"/>
      <c r="C20"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vt:lpstr>
      <vt:lpstr>obj 1</vt:lpstr>
      <vt:lpstr>obj2</vt:lpstr>
      <vt:lpstr>obj3</vt:lpstr>
      <vt:lpstr>obj4</vt:lpstr>
      <vt:lpstr>obj5</vt:lpstr>
      <vt:lpstr>DASHBOARD</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Pearl Sethi</dc:creator>
  <cp:lastModifiedBy>Pearl Sethi</cp:lastModifiedBy>
  <dcterms:created xsi:type="dcterms:W3CDTF">2026-01-03T10:47:43Z</dcterms:created>
  <dcterms:modified xsi:type="dcterms:W3CDTF">2026-01-03T13:18:57Z</dcterms:modified>
</cp:coreProperties>
</file>